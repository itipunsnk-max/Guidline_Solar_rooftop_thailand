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pttor-my.sharepoint.com/personal/620116_pttor_com/Documents/PTTOR งานบิน วศ (อื่นๆ) 2569/__Solar_Rooftop_2029-Only/23.Solar ท่าเรือแหลมฉบัง จ.ชลบุรี/_3.แบบก่อสร้าง-BOQ/"/>
    </mc:Choice>
  </mc:AlternateContent>
  <xr:revisionPtr revIDLastSave="113" documentId="11_77EF9B3CC596476B37F1AB11A61DD7FD321BA153" xr6:coauthVersionLast="47" xr6:coauthVersionMax="47" xr10:uidLastSave="{DCD5D42C-1261-4217-BB48-0A115F4F1298}"/>
  <bookViews>
    <workbookView xWindow="-120" yWindow="-120" windowWidth="29040" windowHeight="15720" activeTab="2" xr2:uid="{00000000-000D-0000-FFFF-FFFF00000000}"/>
  </bookViews>
  <sheets>
    <sheet name="Input" sheetId="1" r:id="rId1"/>
    <sheet name="Cable Tray Selection" sheetId="2" r:id="rId2"/>
    <sheet name="Quick Sele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Q15" i="2"/>
  <c r="S15" i="2" s="1"/>
  <c r="L15" i="2"/>
  <c r="N15" i="2" s="1"/>
  <c r="G15" i="2"/>
  <c r="I15" i="2" s="1"/>
  <c r="E15" i="2"/>
  <c r="F15" i="2" s="1"/>
  <c r="Q14" i="2"/>
  <c r="S14" i="2" s="1"/>
  <c r="L14" i="2"/>
  <c r="N14" i="2" s="1"/>
  <c r="G14" i="2"/>
  <c r="I14" i="2" s="1"/>
  <c r="E14" i="2"/>
  <c r="F14" i="2" s="1"/>
  <c r="Q13" i="2"/>
  <c r="S13" i="2" s="1"/>
  <c r="L13" i="2"/>
  <c r="N13" i="2" s="1"/>
  <c r="G13" i="2"/>
  <c r="I13" i="2" s="1"/>
  <c r="E13" i="2"/>
  <c r="F13" i="2" s="1"/>
  <c r="Q12" i="2"/>
  <c r="S12" i="2" s="1"/>
  <c r="L12" i="2"/>
  <c r="N12" i="2" s="1"/>
  <c r="G12" i="2"/>
  <c r="I12" i="2" s="1"/>
  <c r="E12" i="2"/>
  <c r="F12" i="2" s="1"/>
  <c r="Q11" i="2"/>
  <c r="S11" i="2" s="1"/>
  <c r="L11" i="2"/>
  <c r="N11" i="2" s="1"/>
  <c r="G11" i="2"/>
  <c r="I11" i="2" s="1"/>
  <c r="E11" i="2"/>
  <c r="F11" i="2" s="1"/>
  <c r="Q10" i="2"/>
  <c r="S10" i="2" s="1"/>
  <c r="L10" i="2"/>
  <c r="N10" i="2" s="1"/>
  <c r="G10" i="2"/>
  <c r="I10" i="2" s="1"/>
  <c r="E10" i="2"/>
  <c r="F10" i="2" s="1"/>
  <c r="Q9" i="2"/>
  <c r="S9" i="2" s="1"/>
  <c r="L9" i="2"/>
  <c r="N9" i="2" s="1"/>
  <c r="G9" i="2"/>
  <c r="I9" i="2" s="1"/>
  <c r="E9" i="2"/>
  <c r="F9" i="2" s="1"/>
  <c r="Q8" i="2"/>
  <c r="S8" i="2" s="1"/>
  <c r="L8" i="2"/>
  <c r="N8" i="2" s="1"/>
  <c r="G8" i="2"/>
  <c r="I8" i="2" s="1"/>
  <c r="E8" i="2"/>
  <c r="F8" i="2" s="1"/>
  <c r="Q7" i="2"/>
  <c r="S7" i="2" s="1"/>
  <c r="L7" i="2"/>
  <c r="N7" i="2" s="1"/>
  <c r="G7" i="2"/>
  <c r="I7" i="2" s="1"/>
  <c r="E7" i="2"/>
  <c r="F7" i="2" s="1"/>
  <c r="Q6" i="2"/>
  <c r="S6" i="2" s="1"/>
  <c r="L6" i="2"/>
  <c r="N6" i="2" s="1"/>
  <c r="G6" i="2"/>
  <c r="I6" i="2" s="1"/>
  <c r="E6" i="2"/>
  <c r="F6" i="2" s="1"/>
  <c r="H6" i="2" s="1"/>
  <c r="J6" i="2" s="1"/>
  <c r="Q5" i="2"/>
  <c r="S5" i="2" s="1"/>
  <c r="L5" i="2"/>
  <c r="N5" i="2" s="1"/>
  <c r="G5" i="2"/>
  <c r="I5" i="2" s="1"/>
  <c r="E5" i="2"/>
  <c r="F5" i="2" s="1"/>
  <c r="C7" i="1"/>
  <c r="C6" i="1"/>
  <c r="C5" i="1"/>
  <c r="M6" i="2" l="1"/>
  <c r="O6" i="2" s="1"/>
  <c r="M15" i="2"/>
  <c r="O15" i="2" s="1"/>
  <c r="E14" i="3" s="1"/>
  <c r="M14" i="2"/>
  <c r="O14" i="2" s="1"/>
  <c r="H14" i="2"/>
  <c r="J14" i="2" s="1"/>
  <c r="K6" i="2"/>
  <c r="D5" i="3" s="1"/>
  <c r="C5" i="3"/>
  <c r="H9" i="2"/>
  <c r="J9" i="2" s="1"/>
  <c r="R9" i="2"/>
  <c r="T9" i="2" s="1"/>
  <c r="M9" i="2"/>
  <c r="O9" i="2" s="1"/>
  <c r="H8" i="2"/>
  <c r="J8" i="2" s="1"/>
  <c r="R8" i="2"/>
  <c r="T8" i="2" s="1"/>
  <c r="M8" i="2"/>
  <c r="O8" i="2" s="1"/>
  <c r="H10" i="2"/>
  <c r="J10" i="2" s="1"/>
  <c r="R10" i="2"/>
  <c r="T10" i="2" s="1"/>
  <c r="M10" i="2"/>
  <c r="O10" i="2" s="1"/>
  <c r="R13" i="2"/>
  <c r="T13" i="2" s="1"/>
  <c r="M13" i="2"/>
  <c r="O13" i="2" s="1"/>
  <c r="H13" i="2"/>
  <c r="J13" i="2" s="1"/>
  <c r="R11" i="2"/>
  <c r="T11" i="2" s="1"/>
  <c r="M11" i="2"/>
  <c r="O11" i="2" s="1"/>
  <c r="H11" i="2"/>
  <c r="J11" i="2" s="1"/>
  <c r="R12" i="2"/>
  <c r="T12" i="2" s="1"/>
  <c r="M12" i="2"/>
  <c r="O12" i="2" s="1"/>
  <c r="H12" i="2"/>
  <c r="J12" i="2" s="1"/>
  <c r="P14" i="2"/>
  <c r="F13" i="3" s="1"/>
  <c r="E13" i="3"/>
  <c r="P6" i="2"/>
  <c r="F5" i="3" s="1"/>
  <c r="E5" i="3"/>
  <c r="M7" i="2"/>
  <c r="O7" i="2" s="1"/>
  <c r="H7" i="2"/>
  <c r="J7" i="2" s="1"/>
  <c r="R7" i="2"/>
  <c r="T7" i="2" s="1"/>
  <c r="R5" i="2"/>
  <c r="T5" i="2" s="1"/>
  <c r="M5" i="2"/>
  <c r="O5" i="2" s="1"/>
  <c r="H5" i="2"/>
  <c r="J5" i="2" s="1"/>
  <c r="K5" i="2" s="1"/>
  <c r="R14" i="2"/>
  <c r="T14" i="2" s="1"/>
  <c r="R15" i="2"/>
  <c r="T15" i="2" s="1"/>
  <c r="R6" i="2"/>
  <c r="T6" i="2" s="1"/>
  <c r="V6" i="2" s="1"/>
  <c r="H15" i="2"/>
  <c r="J15" i="2" s="1"/>
  <c r="P15" i="2" l="1"/>
  <c r="F14" i="3" s="1"/>
  <c r="K14" i="2"/>
  <c r="D13" i="3" s="1"/>
  <c r="C13" i="3"/>
  <c r="G9" i="3"/>
  <c r="U10" i="2"/>
  <c r="H9" i="3" s="1"/>
  <c r="V10" i="2"/>
  <c r="C9" i="3"/>
  <c r="K10" i="2"/>
  <c r="D9" i="3" s="1"/>
  <c r="C6" i="3"/>
  <c r="V7" i="2"/>
  <c r="K7" i="2"/>
  <c r="D6" i="3" s="1"/>
  <c r="K8" i="2"/>
  <c r="D7" i="3" s="1"/>
  <c r="V8" i="2"/>
  <c r="C7" i="3"/>
  <c r="G13" i="3"/>
  <c r="U14" i="2"/>
  <c r="H13" i="3" s="1"/>
  <c r="P12" i="2"/>
  <c r="F11" i="3" s="1"/>
  <c r="E11" i="3"/>
  <c r="V9" i="2"/>
  <c r="C8" i="3"/>
  <c r="K9" i="2"/>
  <c r="D8" i="3" s="1"/>
  <c r="E7" i="3"/>
  <c r="P8" i="2"/>
  <c r="F7" i="3" s="1"/>
  <c r="K12" i="2"/>
  <c r="D11" i="3" s="1"/>
  <c r="C11" i="3"/>
  <c r="V12" i="2"/>
  <c r="K15" i="2"/>
  <c r="D14" i="3" s="1"/>
  <c r="C14" i="3"/>
  <c r="V15" i="2"/>
  <c r="G8" i="3"/>
  <c r="U9" i="2"/>
  <c r="H8" i="3" s="1"/>
  <c r="V11" i="2"/>
  <c r="C10" i="3"/>
  <c r="K11" i="2"/>
  <c r="D10" i="3" s="1"/>
  <c r="G14" i="3"/>
  <c r="U15" i="2"/>
  <c r="H14" i="3" s="1"/>
  <c r="E10" i="3"/>
  <c r="P11" i="2"/>
  <c r="F10" i="3" s="1"/>
  <c r="U11" i="2"/>
  <c r="H10" i="3" s="1"/>
  <c r="G10" i="3"/>
  <c r="C4" i="3"/>
  <c r="D4" i="3"/>
  <c r="V5" i="2"/>
  <c r="C12" i="3"/>
  <c r="K13" i="2"/>
  <c r="D12" i="3" s="1"/>
  <c r="V13" i="2"/>
  <c r="E4" i="3"/>
  <c r="P5" i="2"/>
  <c r="F4" i="3" s="1"/>
  <c r="P13" i="2"/>
  <c r="F12" i="3" s="1"/>
  <c r="E12" i="3"/>
  <c r="G4" i="3"/>
  <c r="U5" i="2"/>
  <c r="H4" i="3" s="1"/>
  <c r="G12" i="3"/>
  <c r="U13" i="2"/>
  <c r="H12" i="3" s="1"/>
  <c r="V14" i="2"/>
  <c r="E6" i="3"/>
  <c r="P7" i="2"/>
  <c r="F6" i="3" s="1"/>
  <c r="U8" i="2"/>
  <c r="H7" i="3" s="1"/>
  <c r="G7" i="3"/>
  <c r="E8" i="3"/>
  <c r="P9" i="2"/>
  <c r="F8" i="3" s="1"/>
  <c r="G11" i="3"/>
  <c r="U12" i="2"/>
  <c r="H11" i="3" s="1"/>
  <c r="G5" i="3"/>
  <c r="U6" i="2"/>
  <c r="H5" i="3" s="1"/>
  <c r="G6" i="3"/>
  <c r="U7" i="2"/>
  <c r="H6" i="3" s="1"/>
  <c r="P10" i="2"/>
  <c r="F9" i="3" s="1"/>
  <c r="E9" i="3"/>
</calcChain>
</file>

<file path=xl/sharedStrings.xml><?xml version="1.0" encoding="utf-8"?>
<sst xmlns="http://schemas.openxmlformats.org/spreadsheetml/2006/main" count="102" uniqueCount="76">
  <si>
    <t>PV-DC Cable Tray Sizing Calculator</t>
  </si>
  <si>
    <t>แก้ไขเฉพาะช่องสีเหลือง: ค่า OD ต้องใช้จาก Datasheet ผู้ผลิตสายจริง ผลลัพธ์เป็นความจุทางกายภาพของราง ไม่ใช่การยืนยัน Ampacity</t>
  </si>
  <si>
    <t>Cable Size (mm²)</t>
  </si>
  <si>
    <t>Cable OD (mm)</t>
  </si>
  <si>
    <t>Cable Area (mm²)</t>
  </si>
  <si>
    <t>หมายเหตุ</t>
  </si>
  <si>
    <t>Design Parameter</t>
  </si>
  <si>
    <t>Value</t>
  </si>
  <si>
    <t>ค่าเริ่มต้นสมมติ — แก้ตาม Datasheet</t>
  </si>
  <si>
    <t>Maximum tray fill</t>
  </si>
  <si>
    <t>Usable tray width</t>
  </si>
  <si>
    <t>Conductors per string</t>
  </si>
  <si>
    <t>Reserve / expansion</t>
  </si>
  <si>
    <t>หลักการคำนวณ</t>
  </si>
  <si>
    <t>1</t>
  </si>
  <si>
    <t>Area limit</t>
  </si>
  <si>
    <t>พื้นที่สายรวม ≤ พื้นที่ภายในราง × Maximum tray fill</t>
  </si>
  <si>
    <t>2</t>
  </si>
  <si>
    <t>Width limit</t>
  </si>
  <si>
    <t>ผลรวม OD ของสายชั้นเดียว ≤ ความกว้างราง × Usable tray width</t>
  </si>
  <si>
    <t>3</t>
  </si>
  <si>
    <t>Maximum conductors</t>
  </si>
  <si>
    <t>ใช้ค่าต่ำสุดระหว่าง Area limit และ Width limit และปัดลงเป็นเลขคู่</t>
  </si>
  <si>
    <t>4</t>
  </si>
  <si>
    <t>Maximum strings</t>
  </si>
  <si>
    <t>Maximum conductors ÷ 2 (PV+ และ PV− ต่อ 1 String)</t>
  </si>
  <si>
    <t>5</t>
  </si>
  <si>
    <t>Engineering check</t>
  </si>
  <si>
    <t>ต้องตรวจ Grouping, Ambient/Rooftop temperature, Tray cover และ Ampacity แยกต่างหาก</t>
  </si>
  <si>
    <t>6</t>
  </si>
  <si>
    <t>Tray dimensions</t>
  </si>
  <si>
    <t>ใช้ขนาดภายในจริง หากผู้ผลิตระบุ Internal Dimension ต่างจาก Nominal Size</t>
  </si>
  <si>
    <t>No.</t>
  </si>
  <si>
    <t>Tray Type</t>
  </si>
  <si>
    <t>Width (mm)</t>
  </si>
  <si>
    <t>Height (mm)</t>
  </si>
  <si>
    <t>Tray Area (mm²)</t>
  </si>
  <si>
    <t>Allowable Area (mm²)</t>
  </si>
  <si>
    <t>4 mm² OD</t>
  </si>
  <si>
    <t>4 mm² Area Limit</t>
  </si>
  <si>
    <t>4 mm² Width Limit</t>
  </si>
  <si>
    <t>4 mm² Max Cables</t>
  </si>
  <si>
    <t>4 mm² Max Strings</t>
  </si>
  <si>
    <t>6 mm² OD</t>
  </si>
  <si>
    <t>6 mm² Area Limit</t>
  </si>
  <si>
    <t>6 mm² Width Limit</t>
  </si>
  <si>
    <t>6 mm² Max Cables</t>
  </si>
  <si>
    <t>6 mm² Max Strings</t>
  </si>
  <si>
    <t>Recommended Selection Check</t>
  </si>
  <si>
    <t>Remark</t>
  </si>
  <si>
    <t>Cable Tray with cover</t>
  </si>
  <si>
    <t>Max cables = physical tray capacity; verify ampacity separately</t>
  </si>
  <si>
    <t>Basket Tray with cover</t>
  </si>
  <si>
    <t>Quick Selection — จำนวนสายสูงสุดที่แนะนำจากสูตร</t>
  </si>
  <si>
    <t>Size (mm)</t>
  </si>
  <si>
    <t>4 mm² Strings</t>
  </si>
  <si>
    <t>6 mm² Strings</t>
  </si>
  <si>
    <t>OD เริ่มต้น</t>
  </si>
  <si>
    <t>การใช้งาน</t>
  </si>
  <si>
    <t>แก้ OD ใน Sheet Input แล้วตารางทั้งหมดจะคำนวณใหม่</t>
  </si>
  <si>
    <t>ข้อจำกัด</t>
  </si>
  <si>
    <t>ไม่รวมการตรวจพิกัดกระแสหลัง Derating และไม่ควรใช้แทน Cable Datasheet/Engineering Calculation</t>
  </si>
  <si>
    <t>0.8W</t>
  </si>
  <si>
    <t>4 mm² = 6 mm</t>
  </si>
  <si>
    <t>6 mm² = 7 mm</t>
  </si>
  <si>
    <t>20% Fill</t>
  </si>
  <si>
    <t>Select min.</t>
  </si>
  <si>
    <t>INT = ไม่เอาเศษ</t>
  </si>
  <si>
    <t>ตารางเลือก Cable Tray สำหรับสาย PV-DC 4, 6 และ 10 mm²</t>
  </si>
  <si>
    <t>10 mm² = 8 mm</t>
  </si>
  <si>
    <t>10 mm² OD</t>
  </si>
  <si>
    <t>10 mm² Area Limit</t>
  </si>
  <si>
    <t>10 mm² Width Limit</t>
  </si>
  <si>
    <t>10 mm² Max Cables</t>
  </si>
  <si>
    <t>10 mm² Max Strings</t>
  </si>
  <si>
    <t>10 mm² Strings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</si>
</sst>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color rgb="FF9C6500"/>
      <name val="Carlito"/>
    </font>
    <font>
      <b/>
      <sz val="11"/>
      <name val="Carlito"/>
      <charset val="222"/>
    </font>
    <font>
      <b/>
      <u/>
      <sz val="11"/>
      <name val="Carlito"/>
      <charset val="222"/>
    </font>
    <font>
      <sz val="11"/>
      <color theme="1"/>
      <name val="Carlito"/>
    </font>
    <font>
      <sz val="8"/>
      <name val="Carlito"/>
    </font>
    <font>
      <b/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/>
    <xf numFmtId="2" fontId="4" fillId="5" borderId="0" xfId="0" applyNumberFormat="1" applyFont="1" applyFill="1"/>
    <xf numFmtId="2" fontId="0" fillId="0" borderId="0" xfId="0" applyNumberFormat="1"/>
    <xf numFmtId="9" fontId="4" fillId="5" borderId="0" xfId="0" applyNumberFormat="1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6" borderId="0" xfId="0" applyFill="1"/>
    <xf numFmtId="0" fontId="0" fillId="7" borderId="0" xfId="0" applyFill="1"/>
    <xf numFmtId="0" fontId="6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5" fillId="0" borderId="0" xfId="0" applyFont="1"/>
    <xf numFmtId="0" fontId="9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7" fillId="9" borderId="0" xfId="0" applyFont="1" applyFill="1"/>
    <xf numFmtId="0" fontId="7" fillId="8" borderId="0" xfId="0" applyFont="1" applyFill="1"/>
    <xf numFmtId="0" fontId="0" fillId="0" borderId="0" xfId="0" applyFill="1"/>
    <xf numFmtId="0" fontId="3" fillId="4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7" fillId="9" borderId="0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12"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rgb="FFFFFF99"/>
        </patternFill>
      </fill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rgb="FFFFFF99"/>
        </patternFill>
      </fill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rgb="FFFFFF99"/>
        </patternFill>
      </fill>
    </dxf>
    <dxf>
      <border diagonalUp="0" diagonalDown="0">
        <left style="medium">
          <color indexed="64"/>
        </left>
        <right/>
        <top/>
        <bottom/>
        <vertical/>
        <horizontal/>
      </border>
    </dxf>
  </dxfs>
  <tableStyles count="1" defaultTableStyle="TableStyleMedium2" defaultPivotStyle="PivotStyleLight16">
    <tableStyle name="Invisible" pivot="0" table="0" count="0" xr9:uid="{69C713AA-BBBC-45FE-9AED-BF3FD8DFDC3E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21</xdr:row>
      <xdr:rowOff>19050</xdr:rowOff>
    </xdr:from>
    <xdr:to>
      <xdr:col>9</xdr:col>
      <xdr:colOff>285750</xdr:colOff>
      <xdr:row>32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288CBD-553C-D5E3-4E10-FF965130E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4295775"/>
          <a:ext cx="1105852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683559</xdr:colOff>
      <xdr:row>20</xdr:row>
      <xdr:rowOff>100854</xdr:rowOff>
    </xdr:from>
    <xdr:to>
      <xdr:col>21</xdr:col>
      <xdr:colOff>1152526</xdr:colOff>
      <xdr:row>46</xdr:row>
      <xdr:rowOff>167528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5D0CE-56F2-96EE-9852-4E3314E76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6533030"/>
          <a:ext cx="22365261" cy="4728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1098177</xdr:colOff>
      <xdr:row>21</xdr:row>
      <xdr:rowOff>134471</xdr:rowOff>
    </xdr:from>
    <xdr:to>
      <xdr:col>9</xdr:col>
      <xdr:colOff>399490</xdr:colOff>
      <xdr:row>42</xdr:row>
      <xdr:rowOff>98051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359FE2-8EA1-51BB-B094-9EF0ECFC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7" y="4403912"/>
          <a:ext cx="10439960" cy="372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bleTraySizingTable" displayName="CableTraySizingTable" ref="A4:W15">
  <tableColumns count="23">
    <tableColumn id="1" xr3:uid="{00000000-0010-0000-0000-000001000000}" name="No."/>
    <tableColumn id="2" xr3:uid="{00000000-0010-0000-0000-000002000000}" name="Tray Type"/>
    <tableColumn id="3" xr3:uid="{00000000-0010-0000-0000-000003000000}" name="Width (mm)"/>
    <tableColumn id="4" xr3:uid="{00000000-0010-0000-0000-000004000000}" name="Height (mm)"/>
    <tableColumn id="5" xr3:uid="{00000000-0010-0000-0000-000005000000}" name="Tray Area (mm²)"/>
    <tableColumn id="6" xr3:uid="{00000000-0010-0000-0000-000006000000}" name="Allowable Area (mm²)"/>
    <tableColumn id="7" xr3:uid="{00000000-0010-0000-0000-000007000000}" name="4 mm² OD" dataDxfId="11"/>
    <tableColumn id="8" xr3:uid="{00000000-0010-0000-0000-000008000000}" name="4 mm² Area Limit" dataDxfId="10"/>
    <tableColumn id="9" xr3:uid="{00000000-0010-0000-0000-000009000000}" name="4 mm² Width Limit" dataDxfId="9"/>
    <tableColumn id="10" xr3:uid="{00000000-0010-0000-0000-00000A000000}" name="4 mm² Max Cables"/>
    <tableColumn id="11" xr3:uid="{00000000-0010-0000-0000-00000B000000}" name="4 mm² Max Strings" dataDxfId="8"/>
    <tableColumn id="12" xr3:uid="{00000000-0010-0000-0000-00000C000000}" name="6 mm² OD" dataDxfId="7"/>
    <tableColumn id="13" xr3:uid="{00000000-0010-0000-0000-00000D000000}" name="6 mm² Area Limit" dataDxfId="6"/>
    <tableColumn id="14" xr3:uid="{00000000-0010-0000-0000-00000E000000}" name="6 mm² Width Limit" dataDxfId="5"/>
    <tableColumn id="15" xr3:uid="{00000000-0010-0000-0000-00000F000000}" name="6 mm² Max Cables"/>
    <tableColumn id="16" xr3:uid="{00000000-0010-0000-0000-000010000000}" name="6 mm² Max Strings" dataDxfId="4"/>
    <tableColumn id="17" xr3:uid="{00000000-0010-0000-0000-000011000000}" name="10 mm² OD" dataDxfId="3"/>
    <tableColumn id="18" xr3:uid="{00000000-0010-0000-0000-000012000000}" name="10 mm² Area Limit" dataDxfId="2"/>
    <tableColumn id="19" xr3:uid="{00000000-0010-0000-0000-000013000000}" name="10 mm² Width Limit" dataDxfId="1"/>
    <tableColumn id="20" xr3:uid="{00000000-0010-0000-0000-000014000000}" name="10 mm² Max Cables"/>
    <tableColumn id="21" xr3:uid="{00000000-0010-0000-0000-000015000000}" name="10 mm² Max Strings" dataDxfId="0"/>
    <tableColumn id="22" xr3:uid="{00000000-0010-0000-0000-000016000000}" name="Recommended Selection Check"/>
    <tableColumn id="23" xr3:uid="{00000000-0010-0000-0000-000017000000}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SelectionTable" displayName="QuickSelectionTable" ref="A3:H14">
  <tableColumns count="8">
    <tableColumn id="1" xr3:uid="{00000000-0010-0000-0100-000001000000}" name="Tray Type"/>
    <tableColumn id="2" xr3:uid="{00000000-0010-0000-0100-000002000000}" name="Size (mm)"/>
    <tableColumn id="3" xr3:uid="{00000000-0010-0000-0100-000003000000}" name="4 mm² Max Cables"/>
    <tableColumn id="4" xr3:uid="{00000000-0010-0000-0100-000004000000}" name="4 mm² Strings"/>
    <tableColumn id="5" xr3:uid="{00000000-0010-0000-0100-000005000000}" name="6 mm² Max Cables"/>
    <tableColumn id="6" xr3:uid="{00000000-0010-0000-0100-000006000000}" name="6 mm² Strings"/>
    <tableColumn id="7" xr3:uid="{00000000-0010-0000-0100-000007000000}" name="10 mm² Max Cables"/>
    <tableColumn id="8" xr3:uid="{00000000-0010-0000-0100-000008000000}" name="10 mm² Str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B36" sqref="B36"/>
    </sheetView>
  </sheetViews>
  <sheetFormatPr defaultRowHeight="14.25"/>
  <cols>
    <col min="1" max="1" width="18" customWidth="1"/>
    <col min="2" max="2" width="16" customWidth="1"/>
    <col min="3" max="3" width="18" customWidth="1"/>
    <col min="4" max="4" width="34" customWidth="1"/>
    <col min="5" max="5" width="3" customWidth="1"/>
    <col min="6" max="6" width="26" customWidth="1"/>
    <col min="7" max="7" width="16" customWidth="1"/>
    <col min="8" max="8" width="14" customWidth="1"/>
  </cols>
  <sheetData>
    <row r="1" spans="1:8" ht="27.9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33.950000000000003" customHeight="1">
      <c r="A2" s="15" t="s">
        <v>1</v>
      </c>
      <c r="B2" s="15"/>
      <c r="C2" s="15"/>
      <c r="D2" s="15"/>
      <c r="E2" s="15"/>
      <c r="F2" s="15"/>
      <c r="G2" s="15"/>
      <c r="H2" s="15"/>
    </row>
    <row r="4" spans="1:8" ht="15">
      <c r="A4" s="1" t="s">
        <v>2</v>
      </c>
      <c r="B4" s="1" t="s">
        <v>3</v>
      </c>
      <c r="C4" s="1" t="s">
        <v>4</v>
      </c>
      <c r="D4" s="1" t="s">
        <v>5</v>
      </c>
      <c r="F4" s="1" t="s">
        <v>6</v>
      </c>
      <c r="G4" s="1" t="s">
        <v>7</v>
      </c>
    </row>
    <row r="5" spans="1:8" ht="15">
      <c r="A5">
        <v>4</v>
      </c>
      <c r="B5" s="3">
        <v>6</v>
      </c>
      <c r="C5" s="4">
        <f>PI()*B5^2/4</f>
        <v>28.274333882308138</v>
      </c>
      <c r="D5" t="s">
        <v>8</v>
      </c>
      <c r="F5" t="s">
        <v>9</v>
      </c>
      <c r="G5" s="5">
        <v>0.2</v>
      </c>
    </row>
    <row r="6" spans="1:8" ht="15">
      <c r="A6">
        <v>6</v>
      </c>
      <c r="B6" s="3">
        <v>7</v>
      </c>
      <c r="C6" s="4">
        <f>PI()*B6^2/4</f>
        <v>38.484510006474963</v>
      </c>
      <c r="D6" t="s">
        <v>8</v>
      </c>
      <c r="F6" t="s">
        <v>10</v>
      </c>
      <c r="G6" s="5">
        <v>0.8</v>
      </c>
    </row>
    <row r="7" spans="1:8" ht="15">
      <c r="A7">
        <v>10</v>
      </c>
      <c r="B7" s="3">
        <v>8</v>
      </c>
      <c r="C7" s="4">
        <f>PI()*B7^2/4</f>
        <v>50.26548245743669</v>
      </c>
      <c r="D7" t="s">
        <v>8</v>
      </c>
      <c r="F7" t="s">
        <v>11</v>
      </c>
      <c r="G7" s="2">
        <v>2</v>
      </c>
    </row>
    <row r="8" spans="1:8" ht="15">
      <c r="F8" t="s">
        <v>12</v>
      </c>
      <c r="G8" s="5">
        <v>0</v>
      </c>
    </row>
    <row r="10" spans="1:8" ht="15">
      <c r="A10" s="1" t="s">
        <v>13</v>
      </c>
      <c r="B10" s="1"/>
      <c r="C10" s="1"/>
      <c r="D10" s="1"/>
      <c r="E10" s="1"/>
      <c r="F10" s="1"/>
      <c r="G10" s="1"/>
      <c r="H10" s="1"/>
    </row>
    <row r="11" spans="1:8">
      <c r="A11" t="s">
        <v>14</v>
      </c>
      <c r="B11" t="s">
        <v>15</v>
      </c>
      <c r="C11" t="s">
        <v>16</v>
      </c>
    </row>
    <row r="12" spans="1:8">
      <c r="A12" t="s">
        <v>17</v>
      </c>
      <c r="B12" t="s">
        <v>18</v>
      </c>
      <c r="C12" t="s">
        <v>19</v>
      </c>
    </row>
    <row r="13" spans="1:8">
      <c r="A13" t="s">
        <v>20</v>
      </c>
      <c r="B13" t="s">
        <v>21</v>
      </c>
      <c r="C13" t="s">
        <v>22</v>
      </c>
    </row>
    <row r="14" spans="1:8">
      <c r="A14" t="s">
        <v>23</v>
      </c>
      <c r="B14" t="s">
        <v>24</v>
      </c>
      <c r="C14" t="s">
        <v>25</v>
      </c>
    </row>
    <row r="15" spans="1:8">
      <c r="A15" t="s">
        <v>26</v>
      </c>
      <c r="B15" t="s">
        <v>27</v>
      </c>
      <c r="C15" t="s">
        <v>28</v>
      </c>
    </row>
    <row r="16" spans="1:8">
      <c r="A16" t="s">
        <v>29</v>
      </c>
      <c r="B16" t="s">
        <v>30</v>
      </c>
      <c r="C16" t="s">
        <v>31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"/>
  <sheetViews>
    <sheetView topLeftCell="A6" zoomScale="85" zoomScaleNormal="85" workbookViewId="0">
      <selection activeCell="C22" sqref="C22"/>
    </sheetView>
  </sheetViews>
  <sheetFormatPr defaultRowHeight="14.25"/>
  <cols>
    <col min="1" max="1" width="6" customWidth="1"/>
    <col min="2" max="2" width="26" customWidth="1"/>
    <col min="3" max="6" width="13" customWidth="1"/>
    <col min="7" max="21" width="14" customWidth="1"/>
    <col min="22" max="22" width="22" customWidth="1"/>
    <col min="23" max="23" width="34" customWidth="1"/>
  </cols>
  <sheetData>
    <row r="1" spans="1:23" ht="27.95" customHeight="1">
      <c r="A1" s="14" t="s">
        <v>68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33.950000000000003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7.25" thickBot="1">
      <c r="G3" s="11"/>
      <c r="H3" s="18" t="s">
        <v>65</v>
      </c>
      <c r="I3" s="17" t="s">
        <v>62</v>
      </c>
      <c r="J3" s="16" t="s">
        <v>66</v>
      </c>
      <c r="K3" s="12"/>
      <c r="L3" s="21"/>
      <c r="M3" s="19"/>
      <c r="N3" s="20"/>
      <c r="P3" s="12"/>
      <c r="Q3" s="21"/>
      <c r="R3" s="19"/>
      <c r="S3" s="20"/>
      <c r="U3" s="12"/>
    </row>
    <row r="4" spans="1:23" ht="44.1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22" t="s">
        <v>38</v>
      </c>
      <c r="H4" s="23" t="s">
        <v>39</v>
      </c>
      <c r="I4" s="24" t="s">
        <v>40</v>
      </c>
      <c r="J4" s="25" t="s">
        <v>41</v>
      </c>
      <c r="K4" s="26" t="s">
        <v>42</v>
      </c>
      <c r="L4" s="22" t="s">
        <v>43</v>
      </c>
      <c r="M4" s="23" t="s">
        <v>44</v>
      </c>
      <c r="N4" s="24" t="s">
        <v>45</v>
      </c>
      <c r="O4" s="25" t="s">
        <v>46</v>
      </c>
      <c r="P4" s="26" t="s">
        <v>47</v>
      </c>
      <c r="Q4" s="22" t="s">
        <v>70</v>
      </c>
      <c r="R4" s="23" t="s">
        <v>71</v>
      </c>
      <c r="S4" s="24" t="s">
        <v>72</v>
      </c>
      <c r="T4" s="25" t="s">
        <v>73</v>
      </c>
      <c r="U4" s="26" t="s">
        <v>74</v>
      </c>
      <c r="V4" s="1" t="s">
        <v>48</v>
      </c>
      <c r="W4" s="1" t="s">
        <v>49</v>
      </c>
    </row>
    <row r="5" spans="1:23" ht="28.5">
      <c r="A5" s="7">
        <v>1</v>
      </c>
      <c r="B5" s="7" t="s">
        <v>50</v>
      </c>
      <c r="C5" s="7">
        <v>50</v>
      </c>
      <c r="D5" s="7">
        <v>50</v>
      </c>
      <c r="E5" s="8">
        <f t="shared" ref="E5:E15" si="0">C5*D5</f>
        <v>2500</v>
      </c>
      <c r="F5" s="8">
        <f>E5*Input!$G$5*(1-Input!$G$8)</f>
        <v>500</v>
      </c>
      <c r="G5" s="27">
        <f>Input!$B$5</f>
        <v>6</v>
      </c>
      <c r="H5" s="28">
        <f>INT(F5/Input!$C$5)</f>
        <v>17</v>
      </c>
      <c r="I5" s="29">
        <f>INT(C5*Input!$G$6*(1-Input!$G$8)/G5)</f>
        <v>6</v>
      </c>
      <c r="J5" s="30">
        <f>2*INT(MIN(H5,I5)/2)</f>
        <v>6</v>
      </c>
      <c r="K5" s="31">
        <f>INT(J5/Input!$G$7)</f>
        <v>3</v>
      </c>
      <c r="L5" s="27">
        <f>Input!$B$6</f>
        <v>7</v>
      </c>
      <c r="M5" s="28">
        <f>INT(F5/Input!$C$6)</f>
        <v>12</v>
      </c>
      <c r="N5" s="29">
        <f>INT(C5*Input!$G$6*(1-Input!$G$8)/L5)</f>
        <v>5</v>
      </c>
      <c r="O5" s="30">
        <f>2*INT(MIN(M5,N5)/2)</f>
        <v>4</v>
      </c>
      <c r="P5" s="31">
        <f>INT(O5/Input!$G$7)</f>
        <v>2</v>
      </c>
      <c r="Q5" s="27">
        <f>Input!$B$7</f>
        <v>8</v>
      </c>
      <c r="R5" s="28">
        <f>INT(F5/Input!$C$7)</f>
        <v>9</v>
      </c>
      <c r="S5" s="29">
        <f>INT(C5*Input!$G$6*(1-Input!$G$8)/Q5)</f>
        <v>5</v>
      </c>
      <c r="T5" s="30">
        <f t="shared" ref="T5:T15" si="1">2*INT(MIN(R5,S5)/2)</f>
        <v>4</v>
      </c>
      <c r="U5" s="31">
        <f>INT(T5/Input!$G$7)</f>
        <v>2</v>
      </c>
      <c r="V5" s="6" t="str">
        <f>IF(AND(J5&gt;=2,O5&gt;=2,T5&gt;=2),"Usable — verify derating","Not recommended")</f>
        <v>Usable — verify derating</v>
      </c>
      <c r="W5" s="6" t="s">
        <v>51</v>
      </c>
    </row>
    <row r="6" spans="1:23" ht="28.5">
      <c r="A6" s="7">
        <v>2</v>
      </c>
      <c r="B6" s="7" t="s">
        <v>52</v>
      </c>
      <c r="C6" s="7">
        <v>50</v>
      </c>
      <c r="D6" s="7">
        <v>50</v>
      </c>
      <c r="E6" s="8">
        <f t="shared" si="0"/>
        <v>2500</v>
      </c>
      <c r="F6" s="8">
        <f>E6*Input!$G$5*(1-Input!$G$8)</f>
        <v>500</v>
      </c>
      <c r="G6" s="27">
        <f>Input!$B$5</f>
        <v>6</v>
      </c>
      <c r="H6" s="28">
        <f>INT(F6/Input!$C$5)</f>
        <v>17</v>
      </c>
      <c r="I6" s="29">
        <f>INT(C6*Input!$G$6*(1-Input!$G$8)/G6)</f>
        <v>6</v>
      </c>
      <c r="J6" s="30">
        <f>2*INT(MIN(H6,I6)/2)</f>
        <v>6</v>
      </c>
      <c r="K6" s="31">
        <f>INT(J6/Input!$G$7)</f>
        <v>3</v>
      </c>
      <c r="L6" s="27">
        <f>Input!$B$6</f>
        <v>7</v>
      </c>
      <c r="M6" s="28">
        <f>INT(F6/Input!$C$6)</f>
        <v>12</v>
      </c>
      <c r="N6" s="29">
        <f>INT(C6*Input!$G$6*(1-Input!$G$8)/L6)</f>
        <v>5</v>
      </c>
      <c r="O6" s="30">
        <f>2*INT(MIN(M6,N6)/2)</f>
        <v>4</v>
      </c>
      <c r="P6" s="31">
        <f>INT(O6/Input!$G$7)</f>
        <v>2</v>
      </c>
      <c r="Q6" s="27">
        <f>Input!$B$7</f>
        <v>8</v>
      </c>
      <c r="R6" s="28">
        <f>INT(F6/Input!$C$7)</f>
        <v>9</v>
      </c>
      <c r="S6" s="29">
        <f>INT(C6*Input!$G$6*(1-Input!$G$8)/Q6)</f>
        <v>5</v>
      </c>
      <c r="T6" s="30">
        <f t="shared" si="1"/>
        <v>4</v>
      </c>
      <c r="U6" s="31">
        <f>INT(T6/Input!$G$7)</f>
        <v>2</v>
      </c>
      <c r="V6" s="6" t="str">
        <f>IF(AND(J6&gt;=2,O6&gt;=2,T6&gt;=2),"Usable — verify derating","Not recommended")</f>
        <v>Usable — verify derating</v>
      </c>
      <c r="W6" s="6" t="s">
        <v>51</v>
      </c>
    </row>
    <row r="7" spans="1:23" ht="28.5">
      <c r="A7" s="7">
        <v>3</v>
      </c>
      <c r="B7" s="7" t="s">
        <v>50</v>
      </c>
      <c r="C7" s="7">
        <v>100</v>
      </c>
      <c r="D7" s="7">
        <v>100</v>
      </c>
      <c r="E7" s="8">
        <f t="shared" si="0"/>
        <v>10000</v>
      </c>
      <c r="F7" s="8">
        <f>E7*Input!$G$5*(1-Input!$G$8)</f>
        <v>2000</v>
      </c>
      <c r="G7" s="27">
        <f>Input!$B$5</f>
        <v>6</v>
      </c>
      <c r="H7" s="28">
        <f>INT(F7/Input!$C$5)</f>
        <v>70</v>
      </c>
      <c r="I7" s="29">
        <f>INT(C7*Input!$G$6*(1-Input!$G$8)/G7)</f>
        <v>13</v>
      </c>
      <c r="J7" s="30">
        <f>2*INT(MIN(H7,I7)/2)</f>
        <v>12</v>
      </c>
      <c r="K7" s="31">
        <f>INT(J7/Input!$G$7)</f>
        <v>6</v>
      </c>
      <c r="L7" s="27">
        <f>Input!$B$6</f>
        <v>7</v>
      </c>
      <c r="M7" s="28">
        <f>INT(F7/Input!$C$6)</f>
        <v>51</v>
      </c>
      <c r="N7" s="29">
        <f>INT(C7*Input!$G$6*(1-Input!$G$8)/L7)</f>
        <v>11</v>
      </c>
      <c r="O7" s="30">
        <f>2*INT(MIN(M7,N7)/2)</f>
        <v>10</v>
      </c>
      <c r="P7" s="31">
        <f>INT(O7/Input!$G$7)</f>
        <v>5</v>
      </c>
      <c r="Q7" s="27">
        <f>Input!$B$7</f>
        <v>8</v>
      </c>
      <c r="R7" s="28">
        <f>INT(F7/Input!$C$7)</f>
        <v>39</v>
      </c>
      <c r="S7" s="29">
        <f>INT(C7*Input!$G$6*(1-Input!$G$8)/Q7)</f>
        <v>10</v>
      </c>
      <c r="T7" s="30">
        <f t="shared" si="1"/>
        <v>10</v>
      </c>
      <c r="U7" s="31">
        <f>INT(T7/Input!$G$7)</f>
        <v>5</v>
      </c>
      <c r="V7" s="6" t="str">
        <f>IF(AND(J7&gt;=2,O7&gt;=2,T7&gt;=2),"Usable — verify derating","Not recommended")</f>
        <v>Usable — verify derating</v>
      </c>
      <c r="W7" s="6" t="s">
        <v>51</v>
      </c>
    </row>
    <row r="8" spans="1:23" ht="28.5">
      <c r="A8" s="7">
        <v>4</v>
      </c>
      <c r="B8" s="7" t="s">
        <v>52</v>
      </c>
      <c r="C8" s="7">
        <v>150</v>
      </c>
      <c r="D8" s="7">
        <v>50</v>
      </c>
      <c r="E8" s="8">
        <f t="shared" si="0"/>
        <v>7500</v>
      </c>
      <c r="F8" s="8">
        <f>E8*Input!$G$5*(1-Input!$G$8)</f>
        <v>1500</v>
      </c>
      <c r="G8" s="27">
        <f>Input!$B$5</f>
        <v>6</v>
      </c>
      <c r="H8" s="28">
        <f>INT(F8/Input!$C$5)</f>
        <v>53</v>
      </c>
      <c r="I8" s="29">
        <f>INT(C8*Input!$G$6*(1-Input!$G$8)/G8)</f>
        <v>20</v>
      </c>
      <c r="J8" s="30">
        <f>2*INT(MIN(H8,I8)/2)</f>
        <v>20</v>
      </c>
      <c r="K8" s="31">
        <f>INT(J8/Input!$G$7)</f>
        <v>10</v>
      </c>
      <c r="L8" s="27">
        <f>Input!$B$6</f>
        <v>7</v>
      </c>
      <c r="M8" s="28">
        <f>INT(F8/Input!$C$6)</f>
        <v>38</v>
      </c>
      <c r="N8" s="29">
        <f>INT(C8*Input!$G$6*(1-Input!$G$8)/L8)</f>
        <v>17</v>
      </c>
      <c r="O8" s="30">
        <f>2*INT(MIN(M8,N8)/2)</f>
        <v>16</v>
      </c>
      <c r="P8" s="31">
        <f>INT(O8/Input!$G$7)</f>
        <v>8</v>
      </c>
      <c r="Q8" s="27">
        <f>Input!$B$7</f>
        <v>8</v>
      </c>
      <c r="R8" s="28">
        <f>INT(F8/Input!$C$7)</f>
        <v>29</v>
      </c>
      <c r="S8" s="29">
        <f>INT(C8*Input!$G$6*(1-Input!$G$8)/Q8)</f>
        <v>15</v>
      </c>
      <c r="T8" s="30">
        <f t="shared" si="1"/>
        <v>14</v>
      </c>
      <c r="U8" s="31">
        <f>INT(T8/Input!$G$7)</f>
        <v>7</v>
      </c>
      <c r="V8" s="6" t="str">
        <f>IF(AND(J8&gt;=2,O8&gt;=2,T8&gt;=2),"Usable — verify derating","Not recommended")</f>
        <v>Usable — verify derating</v>
      </c>
      <c r="W8" s="6" t="s">
        <v>51</v>
      </c>
    </row>
    <row r="9" spans="1:23" ht="28.5">
      <c r="A9" s="7">
        <v>5</v>
      </c>
      <c r="B9" s="7" t="s">
        <v>50</v>
      </c>
      <c r="C9" s="7">
        <v>200</v>
      </c>
      <c r="D9" s="7">
        <v>100</v>
      </c>
      <c r="E9" s="8">
        <f t="shared" si="0"/>
        <v>20000</v>
      </c>
      <c r="F9" s="8">
        <f>E9*Input!$G$5*(1-Input!$G$8)</f>
        <v>4000</v>
      </c>
      <c r="G9" s="27">
        <f>Input!$B$5</f>
        <v>6</v>
      </c>
      <c r="H9" s="28">
        <f>INT(F9/Input!$C$5)</f>
        <v>141</v>
      </c>
      <c r="I9" s="29">
        <f>INT(C9*Input!$G$6*(1-Input!$G$8)/G9)</f>
        <v>26</v>
      </c>
      <c r="J9" s="30">
        <f>2*INT(MIN(H9,I9)/2)</f>
        <v>26</v>
      </c>
      <c r="K9" s="31">
        <f>INT(J9/Input!$G$7)</f>
        <v>13</v>
      </c>
      <c r="L9" s="27">
        <f>Input!$B$6</f>
        <v>7</v>
      </c>
      <c r="M9" s="28">
        <f>INT(F9/Input!$C$6)</f>
        <v>103</v>
      </c>
      <c r="N9" s="29">
        <f>INT(C9*Input!$G$6*(1-Input!$G$8)/L9)</f>
        <v>22</v>
      </c>
      <c r="O9" s="30">
        <f>2*INT(MIN(M9,N9)/2)</f>
        <v>22</v>
      </c>
      <c r="P9" s="31">
        <f>INT(O9/Input!$G$7)</f>
        <v>11</v>
      </c>
      <c r="Q9" s="27">
        <f>Input!$B$7</f>
        <v>8</v>
      </c>
      <c r="R9" s="28">
        <f>INT(F9/Input!$C$7)</f>
        <v>79</v>
      </c>
      <c r="S9" s="29">
        <f>INT(C9*Input!$G$6*(1-Input!$G$8)/Q9)</f>
        <v>20</v>
      </c>
      <c r="T9" s="30">
        <f t="shared" si="1"/>
        <v>20</v>
      </c>
      <c r="U9" s="31">
        <f>INT(T9/Input!$G$7)</f>
        <v>10</v>
      </c>
      <c r="V9" s="6" t="str">
        <f>IF(AND(J9&gt;=2,O9&gt;=2,T9&gt;=2),"Usable — verify derating","Not recommended")</f>
        <v>Usable — verify derating</v>
      </c>
      <c r="W9" s="6" t="s">
        <v>51</v>
      </c>
    </row>
    <row r="10" spans="1:23" ht="28.5">
      <c r="A10" s="7">
        <v>6</v>
      </c>
      <c r="B10" s="7" t="s">
        <v>50</v>
      </c>
      <c r="C10" s="7">
        <v>300</v>
      </c>
      <c r="D10" s="7">
        <v>100</v>
      </c>
      <c r="E10" s="8">
        <f t="shared" si="0"/>
        <v>30000</v>
      </c>
      <c r="F10" s="8">
        <f>E10*Input!$G$5*(1-Input!$G$8)</f>
        <v>6000</v>
      </c>
      <c r="G10" s="27">
        <f>Input!$B$5</f>
        <v>6</v>
      </c>
      <c r="H10" s="28">
        <f>INT(F10/Input!$C$5)</f>
        <v>212</v>
      </c>
      <c r="I10" s="29">
        <f>INT(C10*Input!$G$6*(1-Input!$G$8)/G10)</f>
        <v>40</v>
      </c>
      <c r="J10" s="30">
        <f>2*INT(MIN(H10,I10)/2)</f>
        <v>40</v>
      </c>
      <c r="K10" s="31">
        <f>INT(J10/Input!$G$7)</f>
        <v>20</v>
      </c>
      <c r="L10" s="27">
        <f>Input!$B$6</f>
        <v>7</v>
      </c>
      <c r="M10" s="28">
        <f>INT(F10/Input!$C$6)</f>
        <v>155</v>
      </c>
      <c r="N10" s="29">
        <f>INT(C10*Input!$G$6*(1-Input!$G$8)/L10)</f>
        <v>34</v>
      </c>
      <c r="O10" s="30">
        <f>2*INT(MIN(M10,N10)/2)</f>
        <v>34</v>
      </c>
      <c r="P10" s="31">
        <f>INT(O10/Input!$G$7)</f>
        <v>17</v>
      </c>
      <c r="Q10" s="27">
        <f>Input!$B$7</f>
        <v>8</v>
      </c>
      <c r="R10" s="28">
        <f>INT(F10/Input!$C$7)</f>
        <v>119</v>
      </c>
      <c r="S10" s="29">
        <f>INT(C10*Input!$G$6*(1-Input!$G$8)/Q10)</f>
        <v>30</v>
      </c>
      <c r="T10" s="30">
        <f t="shared" si="1"/>
        <v>30</v>
      </c>
      <c r="U10" s="31">
        <f>INT(T10/Input!$G$7)</f>
        <v>15</v>
      </c>
      <c r="V10" s="6" t="str">
        <f>IF(AND(J10&gt;=2,O10&gt;=2,T10&gt;=2),"Usable — verify derating","Not recommended")</f>
        <v>Usable — verify derating</v>
      </c>
      <c r="W10" s="6" t="s">
        <v>51</v>
      </c>
    </row>
    <row r="11" spans="1:23" ht="28.5">
      <c r="A11" s="7">
        <v>7</v>
      </c>
      <c r="B11" s="7" t="s">
        <v>52</v>
      </c>
      <c r="C11" s="7">
        <v>400</v>
      </c>
      <c r="D11" s="7">
        <v>50</v>
      </c>
      <c r="E11" s="8">
        <f t="shared" si="0"/>
        <v>20000</v>
      </c>
      <c r="F11" s="8">
        <f>E11*Input!$G$5*(1-Input!$G$8)</f>
        <v>4000</v>
      </c>
      <c r="G11" s="27">
        <f>Input!$B$5</f>
        <v>6</v>
      </c>
      <c r="H11" s="28">
        <f>INT(F11/Input!$C$5)</f>
        <v>141</v>
      </c>
      <c r="I11" s="29">
        <f>INT(C11*Input!$G$6*(1-Input!$G$8)/G11)</f>
        <v>53</v>
      </c>
      <c r="J11" s="30">
        <f>2*INT(MIN(H11,I11)/2)</f>
        <v>52</v>
      </c>
      <c r="K11" s="31">
        <f>INT(J11/Input!$G$7)</f>
        <v>26</v>
      </c>
      <c r="L11" s="27">
        <f>Input!$B$6</f>
        <v>7</v>
      </c>
      <c r="M11" s="28">
        <f>INT(F11/Input!$C$6)</f>
        <v>103</v>
      </c>
      <c r="N11" s="29">
        <f>INT(C11*Input!$G$6*(1-Input!$G$8)/L11)</f>
        <v>45</v>
      </c>
      <c r="O11" s="30">
        <f>2*INT(MIN(M11,N11)/2)</f>
        <v>44</v>
      </c>
      <c r="P11" s="31">
        <f>INT(O11/Input!$G$7)</f>
        <v>22</v>
      </c>
      <c r="Q11" s="27">
        <f>Input!$B$7</f>
        <v>8</v>
      </c>
      <c r="R11" s="28">
        <f>INT(F11/Input!$C$7)</f>
        <v>79</v>
      </c>
      <c r="S11" s="29">
        <f>INT(C11*Input!$G$6*(1-Input!$G$8)/Q11)</f>
        <v>40</v>
      </c>
      <c r="T11" s="30">
        <f t="shared" si="1"/>
        <v>40</v>
      </c>
      <c r="U11" s="31">
        <f>INT(T11/Input!$G$7)</f>
        <v>20</v>
      </c>
      <c r="V11" s="6" t="str">
        <f>IF(AND(J11&gt;=2,O11&gt;=2,T11&gt;=2),"Usable — verify derating","Not recommended")</f>
        <v>Usable — verify derating</v>
      </c>
      <c r="W11" s="6" t="s">
        <v>51</v>
      </c>
    </row>
    <row r="12" spans="1:23" ht="28.5">
      <c r="A12" s="7">
        <v>8</v>
      </c>
      <c r="B12" s="7" t="s">
        <v>50</v>
      </c>
      <c r="C12" s="7">
        <v>400</v>
      </c>
      <c r="D12" s="7">
        <v>100</v>
      </c>
      <c r="E12" s="8">
        <f t="shared" si="0"/>
        <v>40000</v>
      </c>
      <c r="F12" s="8">
        <f>E12*Input!$G$5*(1-Input!$G$8)</f>
        <v>8000</v>
      </c>
      <c r="G12" s="27">
        <f>Input!$B$5</f>
        <v>6</v>
      </c>
      <c r="H12" s="28">
        <f>INT(F12/Input!$C$5)</f>
        <v>282</v>
      </c>
      <c r="I12" s="29">
        <f>INT(C12*Input!$G$6*(1-Input!$G$8)/G12)</f>
        <v>53</v>
      </c>
      <c r="J12" s="30">
        <f>2*INT(MIN(H12,I12)/2)</f>
        <v>52</v>
      </c>
      <c r="K12" s="31">
        <f>INT(J12/Input!$G$7)</f>
        <v>26</v>
      </c>
      <c r="L12" s="27">
        <f>Input!$B$6</f>
        <v>7</v>
      </c>
      <c r="M12" s="28">
        <f>INT(F12/Input!$C$6)</f>
        <v>207</v>
      </c>
      <c r="N12" s="29">
        <f>INT(C12*Input!$G$6*(1-Input!$G$8)/L12)</f>
        <v>45</v>
      </c>
      <c r="O12" s="30">
        <f>2*INT(MIN(M12,N12)/2)</f>
        <v>44</v>
      </c>
      <c r="P12" s="31">
        <f>INT(O12/Input!$G$7)</f>
        <v>22</v>
      </c>
      <c r="Q12" s="27">
        <f>Input!$B$7</f>
        <v>8</v>
      </c>
      <c r="R12" s="28">
        <f>INT(F12/Input!$C$7)</f>
        <v>159</v>
      </c>
      <c r="S12" s="29">
        <f>INT(C12*Input!$G$6*(1-Input!$G$8)/Q12)</f>
        <v>40</v>
      </c>
      <c r="T12" s="30">
        <f t="shared" si="1"/>
        <v>40</v>
      </c>
      <c r="U12" s="31">
        <f>INT(T12/Input!$G$7)</f>
        <v>20</v>
      </c>
      <c r="V12" s="6" t="str">
        <f>IF(AND(J12&gt;=2,O12&gt;=2,T12&gt;=2),"Usable — verify derating","Not recommended")</f>
        <v>Usable — verify derating</v>
      </c>
      <c r="W12" s="6" t="s">
        <v>51</v>
      </c>
    </row>
    <row r="13" spans="1:23" ht="28.5">
      <c r="A13" s="7">
        <v>9</v>
      </c>
      <c r="B13" s="7" t="s">
        <v>50</v>
      </c>
      <c r="C13" s="7">
        <v>500</v>
      </c>
      <c r="D13" s="7">
        <v>100</v>
      </c>
      <c r="E13" s="8">
        <f t="shared" si="0"/>
        <v>50000</v>
      </c>
      <c r="F13" s="8">
        <f>E13*Input!$G$5*(1-Input!$G$8)</f>
        <v>10000</v>
      </c>
      <c r="G13" s="27">
        <f>Input!$B$5</f>
        <v>6</v>
      </c>
      <c r="H13" s="28">
        <f>INT(F13/Input!$C$5)</f>
        <v>353</v>
      </c>
      <c r="I13" s="29">
        <f>INT(C13*Input!$G$6*(1-Input!$G$8)/G13)</f>
        <v>66</v>
      </c>
      <c r="J13" s="30">
        <f>2*INT(MIN(H13,I13)/2)</f>
        <v>66</v>
      </c>
      <c r="K13" s="31">
        <f>INT(J13/Input!$G$7)</f>
        <v>33</v>
      </c>
      <c r="L13" s="27">
        <f>Input!$B$6</f>
        <v>7</v>
      </c>
      <c r="M13" s="28">
        <f>INT(F13/Input!$C$6)</f>
        <v>259</v>
      </c>
      <c r="N13" s="29">
        <f>INT(C13*Input!$G$6*(1-Input!$G$8)/L13)</f>
        <v>57</v>
      </c>
      <c r="O13" s="30">
        <f>2*INT(MIN(M13,N13)/2)</f>
        <v>56</v>
      </c>
      <c r="P13" s="31">
        <f>INT(O13/Input!$G$7)</f>
        <v>28</v>
      </c>
      <c r="Q13" s="27">
        <f>Input!$B$7</f>
        <v>8</v>
      </c>
      <c r="R13" s="28">
        <f>INT(F13/Input!$C$7)</f>
        <v>198</v>
      </c>
      <c r="S13" s="29">
        <f>INT(C13*Input!$G$6*(1-Input!$G$8)/Q13)</f>
        <v>50</v>
      </c>
      <c r="T13" s="30">
        <f t="shared" si="1"/>
        <v>50</v>
      </c>
      <c r="U13" s="31">
        <f>INT(T13/Input!$G$7)</f>
        <v>25</v>
      </c>
      <c r="V13" s="6" t="str">
        <f>IF(AND(J13&gt;=2,O13&gt;=2,T13&gt;=2),"Usable — verify derating","Not recommended")</f>
        <v>Usable — verify derating</v>
      </c>
      <c r="W13" s="6" t="s">
        <v>51</v>
      </c>
    </row>
    <row r="14" spans="1:23" ht="28.5">
      <c r="A14" s="7">
        <v>10</v>
      </c>
      <c r="B14" s="7" t="s">
        <v>50</v>
      </c>
      <c r="C14" s="7">
        <v>600</v>
      </c>
      <c r="D14" s="7">
        <v>100</v>
      </c>
      <c r="E14" s="8">
        <f t="shared" si="0"/>
        <v>60000</v>
      </c>
      <c r="F14" s="8">
        <f>E14*Input!$G$5*(1-Input!$G$8)</f>
        <v>12000</v>
      </c>
      <c r="G14" s="27">
        <f>Input!$B$5</f>
        <v>6</v>
      </c>
      <c r="H14" s="28">
        <f>INT(F14/Input!$C$5)</f>
        <v>424</v>
      </c>
      <c r="I14" s="29">
        <f>INT(C14*Input!$G$6*(1-Input!$G$8)/G14)</f>
        <v>80</v>
      </c>
      <c r="J14" s="30">
        <f>2*INT(MIN(H14,I14)/2)</f>
        <v>80</v>
      </c>
      <c r="K14" s="31">
        <f>INT(J14/Input!$G$7)</f>
        <v>40</v>
      </c>
      <c r="L14" s="27">
        <f>Input!$B$6</f>
        <v>7</v>
      </c>
      <c r="M14" s="28">
        <f>INT(F14/Input!$C$6)</f>
        <v>311</v>
      </c>
      <c r="N14" s="29">
        <f>INT(C14*Input!$G$6*(1-Input!$G$8)/L14)</f>
        <v>68</v>
      </c>
      <c r="O14" s="30">
        <f>2*INT(MIN(M14,N14)/2)</f>
        <v>68</v>
      </c>
      <c r="P14" s="31">
        <f>INT(O14/Input!$G$7)</f>
        <v>34</v>
      </c>
      <c r="Q14" s="27">
        <f>Input!$B$7</f>
        <v>8</v>
      </c>
      <c r="R14" s="28">
        <f>INT(F14/Input!$C$7)</f>
        <v>238</v>
      </c>
      <c r="S14" s="29">
        <f>INT(C14*Input!$G$6*(1-Input!$G$8)/Q14)</f>
        <v>60</v>
      </c>
      <c r="T14" s="30">
        <f t="shared" si="1"/>
        <v>60</v>
      </c>
      <c r="U14" s="31">
        <f>INT(T14/Input!$G$7)</f>
        <v>30</v>
      </c>
      <c r="V14" s="6" t="str">
        <f>IF(AND(J14&gt;=2,O14&gt;=2,T14&gt;=2),"Usable — verify derating","Not recommended")</f>
        <v>Usable — verify derating</v>
      </c>
      <c r="W14" s="6" t="s">
        <v>51</v>
      </c>
    </row>
    <row r="15" spans="1:23" ht="29.25" thickBot="1">
      <c r="A15" s="7">
        <v>11</v>
      </c>
      <c r="B15" s="7" t="s">
        <v>50</v>
      </c>
      <c r="C15" s="7">
        <v>700</v>
      </c>
      <c r="D15" s="7">
        <v>100</v>
      </c>
      <c r="E15" s="8">
        <f t="shared" si="0"/>
        <v>70000</v>
      </c>
      <c r="F15" s="8">
        <f>E15*Input!$G$5*(1-Input!$G$8)</f>
        <v>14000</v>
      </c>
      <c r="G15" s="32">
        <f>Input!$B$5</f>
        <v>6</v>
      </c>
      <c r="H15" s="33">
        <f>INT(F15/Input!$C$5)</f>
        <v>495</v>
      </c>
      <c r="I15" s="34">
        <f>INT(C15*Input!$G$6*(1-Input!$G$8)/G15)</f>
        <v>93</v>
      </c>
      <c r="J15" s="35">
        <f>2*INT(MIN(H15,I15)/2)</f>
        <v>92</v>
      </c>
      <c r="K15" s="36">
        <f>INT(J15/Input!$G$7)</f>
        <v>46</v>
      </c>
      <c r="L15" s="32">
        <f>Input!$B$6</f>
        <v>7</v>
      </c>
      <c r="M15" s="33">
        <f>INT(F15/Input!$C$6)</f>
        <v>363</v>
      </c>
      <c r="N15" s="34">
        <f>INT(C15*Input!$G$6*(1-Input!$G$8)/L15)</f>
        <v>80</v>
      </c>
      <c r="O15" s="35">
        <f>2*INT(MIN(M15,N15)/2)</f>
        <v>80</v>
      </c>
      <c r="P15" s="36">
        <f>INT(O15/Input!$G$7)</f>
        <v>40</v>
      </c>
      <c r="Q15" s="32">
        <f>Input!$B$7</f>
        <v>8</v>
      </c>
      <c r="R15" s="33">
        <f>INT(F15/Input!$C$7)</f>
        <v>278</v>
      </c>
      <c r="S15" s="34">
        <f>INT(C15*Input!$G$6*(1-Input!$G$8)/Q15)</f>
        <v>70</v>
      </c>
      <c r="T15" s="35">
        <f t="shared" si="1"/>
        <v>70</v>
      </c>
      <c r="U15" s="36">
        <f>INT(T15/Input!$G$7)</f>
        <v>35</v>
      </c>
      <c r="V15" s="6" t="str">
        <f>IF(AND(J15&gt;=2,O15&gt;=2,T15&gt;=2),"Usable — verify derating","Not recommended")</f>
        <v>Usable — verify derating</v>
      </c>
      <c r="W15" s="6" t="s">
        <v>51</v>
      </c>
    </row>
    <row r="16" spans="1:23" ht="16.5">
      <c r="J16" s="16" t="s">
        <v>67</v>
      </c>
    </row>
  </sheetData>
  <mergeCells count="2">
    <mergeCell ref="A1:W1"/>
    <mergeCell ref="A2:W2"/>
  </mergeCells>
  <phoneticPr fontId="8" type="noConversion"/>
  <conditionalFormatting sqref="J5:J15">
    <cfRule type="dataBar" priority="1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{5572DB56-32DD-EA5C-CFFD-74BD201FCCF1}</x14:id>
        </ext>
      </extLst>
    </cfRule>
  </conditionalFormatting>
  <conditionalFormatting sqref="O5:O15">
    <cfRule type="dataBar" priority="2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{4EBA5360-4B4D-5088-FDEA-E346251ED9A2}</x14:id>
        </ext>
      </extLst>
    </cfRule>
  </conditionalFormatting>
  <conditionalFormatting sqref="T5:T15">
    <cfRule type="dataBar" priority="3">
      <dataBar>
        <cfvo type="min"/>
        <cfvo type="max"/>
        <color rgb="FF5B9BD5"/>
      </dataBar>
    </cfRule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{48479083-F8BA-8DA6-2BB7-3A673B6424F7}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72DB56-32DD-EA5C-CFFD-74BD201FCCF1}">
            <x14:dataBar>
              <x14:cfvo type="min"/>
              <x14:cfvo type="max"/>
              <x14:negativeFillColor auto="1"/>
              <x14:axisColor auto="1"/>
            </x14:dataBar>
          </x14:cfRule>
          <xm:sqref>J5:J15</xm:sqref>
        </x14:conditionalFormatting>
        <x14:conditionalFormatting xmlns:xm="http://schemas.microsoft.com/office/excel/2006/main">
          <x14:cfRule type="dataBar" id="{4EBA5360-4B4D-5088-FDEA-E346251ED9A2}">
            <x14:dataBar>
              <x14:cfvo type="min"/>
              <x14:cfvo type="max"/>
              <x14:negativeFillColor auto="1"/>
              <x14:axisColor auto="1"/>
            </x14:dataBar>
          </x14:cfRule>
          <xm:sqref>O5:O15</xm:sqref>
        </x14:conditionalFormatting>
        <x14:conditionalFormatting xmlns:xm="http://schemas.microsoft.com/office/excel/2006/main">
          <x14:cfRule type="dataBar" id="{48479083-F8BA-8DA6-2BB7-3A673B6424F7}">
            <x14:dataBar>
              <x14:cfvo type="min"/>
              <x14:cfvo type="max"/>
              <x14:negativeFillColor auto="1"/>
              <x14:axisColor auto="1"/>
            </x14:dataBar>
          </x14:cfRule>
          <xm:sqref>T5:T15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abSelected="1" zoomScale="85" zoomScaleNormal="85" workbookViewId="0">
      <selection activeCell="O31" sqref="O31"/>
    </sheetView>
  </sheetViews>
  <sheetFormatPr defaultRowHeight="14.25"/>
  <cols>
    <col min="1" max="1" width="27" customWidth="1"/>
    <col min="2" max="2" width="14" customWidth="1"/>
    <col min="3" max="8" width="16" customWidth="1"/>
  </cols>
  <sheetData>
    <row r="1" spans="1:8" ht="27.95" customHeight="1">
      <c r="A1" s="14" t="s">
        <v>53</v>
      </c>
      <c r="B1" s="14"/>
      <c r="C1" s="14"/>
      <c r="D1" s="14"/>
      <c r="E1" s="14"/>
      <c r="F1" s="14"/>
      <c r="G1" s="14"/>
      <c r="H1" s="14"/>
    </row>
    <row r="2" spans="1:8">
      <c r="D2" s="12"/>
      <c r="F2" s="12"/>
      <c r="H2" s="12"/>
    </row>
    <row r="3" spans="1:8" ht="38.1" customHeight="1">
      <c r="A3" s="1" t="s">
        <v>33</v>
      </c>
      <c r="B3" s="1" t="s">
        <v>54</v>
      </c>
      <c r="C3" s="1" t="s">
        <v>41</v>
      </c>
      <c r="D3" s="1" t="s">
        <v>55</v>
      </c>
      <c r="E3" s="1" t="s">
        <v>46</v>
      </c>
      <c r="F3" s="1" t="s">
        <v>56</v>
      </c>
      <c r="G3" s="1" t="s">
        <v>73</v>
      </c>
      <c r="H3" s="1" t="s">
        <v>75</v>
      </c>
    </row>
    <row r="4" spans="1:8">
      <c r="A4" s="9" t="str">
        <f>'Cable Tray Selection'!B5</f>
        <v>Cable Tray with cover</v>
      </c>
      <c r="B4" s="9" t="str">
        <f>'Cable Tray Selection'!C5&amp;"x"&amp;'Cable Tray Selection'!D5</f>
        <v>50x50</v>
      </c>
      <c r="C4" s="9">
        <f>'Cable Tray Selection'!J5</f>
        <v>6</v>
      </c>
      <c r="D4" s="9">
        <f>'Cable Tray Selection'!K5</f>
        <v>3</v>
      </c>
      <c r="E4" s="9">
        <f>'Cable Tray Selection'!O5</f>
        <v>4</v>
      </c>
      <c r="F4" s="9">
        <f>'Cable Tray Selection'!P5</f>
        <v>2</v>
      </c>
      <c r="G4" s="9">
        <f>'Cable Tray Selection'!T5</f>
        <v>4</v>
      </c>
      <c r="H4" s="9">
        <f>'Cable Tray Selection'!U5</f>
        <v>2</v>
      </c>
    </row>
    <row r="5" spans="1:8">
      <c r="A5" s="9" t="str">
        <f>'Cable Tray Selection'!B6</f>
        <v>Basket Tray with cover</v>
      </c>
      <c r="B5" s="9" t="str">
        <f>'Cable Tray Selection'!C6&amp;"x"&amp;'Cable Tray Selection'!D6</f>
        <v>50x50</v>
      </c>
      <c r="C5" s="9">
        <f>'Cable Tray Selection'!J6</f>
        <v>6</v>
      </c>
      <c r="D5" s="9">
        <f>'Cable Tray Selection'!K6</f>
        <v>3</v>
      </c>
      <c r="E5" s="9">
        <f>'Cable Tray Selection'!O6</f>
        <v>4</v>
      </c>
      <c r="F5" s="9">
        <f>'Cable Tray Selection'!P6</f>
        <v>2</v>
      </c>
      <c r="G5" s="9">
        <f>'Cable Tray Selection'!T6</f>
        <v>4</v>
      </c>
      <c r="H5" s="9">
        <f>'Cable Tray Selection'!U6</f>
        <v>2</v>
      </c>
    </row>
    <row r="6" spans="1:8">
      <c r="A6" s="9" t="str">
        <f>'Cable Tray Selection'!B7</f>
        <v>Cable Tray with cover</v>
      </c>
      <c r="B6" s="9" t="str">
        <f>'Cable Tray Selection'!C7&amp;"x"&amp;'Cable Tray Selection'!D7</f>
        <v>100x100</v>
      </c>
      <c r="C6" s="9">
        <f>'Cable Tray Selection'!J7</f>
        <v>12</v>
      </c>
      <c r="D6" s="9">
        <f>'Cable Tray Selection'!K7</f>
        <v>6</v>
      </c>
      <c r="E6" s="9">
        <f>'Cable Tray Selection'!O7</f>
        <v>10</v>
      </c>
      <c r="F6" s="9">
        <f>'Cable Tray Selection'!P7</f>
        <v>5</v>
      </c>
      <c r="G6" s="9">
        <f>'Cable Tray Selection'!T7</f>
        <v>10</v>
      </c>
      <c r="H6" s="9">
        <f>'Cable Tray Selection'!U7</f>
        <v>5</v>
      </c>
    </row>
    <row r="7" spans="1:8">
      <c r="A7" s="9" t="str">
        <f>'Cable Tray Selection'!B8</f>
        <v>Basket Tray with cover</v>
      </c>
      <c r="B7" s="9" t="str">
        <f>'Cable Tray Selection'!C8&amp;"x"&amp;'Cable Tray Selection'!D8</f>
        <v>150x50</v>
      </c>
      <c r="C7" s="9">
        <f>'Cable Tray Selection'!J8</f>
        <v>20</v>
      </c>
      <c r="D7" s="9">
        <f>'Cable Tray Selection'!K8</f>
        <v>10</v>
      </c>
      <c r="E7" s="9">
        <f>'Cable Tray Selection'!O8</f>
        <v>16</v>
      </c>
      <c r="F7" s="9">
        <f>'Cable Tray Selection'!P8</f>
        <v>8</v>
      </c>
      <c r="G7" s="9">
        <f>'Cable Tray Selection'!T8</f>
        <v>14</v>
      </c>
      <c r="H7" s="9">
        <f>'Cable Tray Selection'!U8</f>
        <v>7</v>
      </c>
    </row>
    <row r="8" spans="1:8">
      <c r="A8" s="9" t="str">
        <f>'Cable Tray Selection'!B9</f>
        <v>Cable Tray with cover</v>
      </c>
      <c r="B8" s="9" t="str">
        <f>'Cable Tray Selection'!C9&amp;"x"&amp;'Cable Tray Selection'!D9</f>
        <v>200x100</v>
      </c>
      <c r="C8" s="9">
        <f>'Cable Tray Selection'!J9</f>
        <v>26</v>
      </c>
      <c r="D8" s="9">
        <f>'Cable Tray Selection'!K9</f>
        <v>13</v>
      </c>
      <c r="E8" s="9">
        <f>'Cable Tray Selection'!O9</f>
        <v>22</v>
      </c>
      <c r="F8" s="9">
        <f>'Cable Tray Selection'!P9</f>
        <v>11</v>
      </c>
      <c r="G8" s="9">
        <f>'Cable Tray Selection'!T9</f>
        <v>20</v>
      </c>
      <c r="H8" s="9">
        <f>'Cable Tray Selection'!U9</f>
        <v>10</v>
      </c>
    </row>
    <row r="9" spans="1:8">
      <c r="A9" s="9" t="str">
        <f>'Cable Tray Selection'!B10</f>
        <v>Cable Tray with cover</v>
      </c>
      <c r="B9" s="9" t="str">
        <f>'Cable Tray Selection'!C10&amp;"x"&amp;'Cable Tray Selection'!D10</f>
        <v>300x100</v>
      </c>
      <c r="C9" s="9">
        <f>'Cable Tray Selection'!J10</f>
        <v>40</v>
      </c>
      <c r="D9" s="9">
        <f>'Cable Tray Selection'!K10</f>
        <v>20</v>
      </c>
      <c r="E9" s="9">
        <f>'Cable Tray Selection'!O10</f>
        <v>34</v>
      </c>
      <c r="F9" s="9">
        <f>'Cable Tray Selection'!P10</f>
        <v>17</v>
      </c>
      <c r="G9" s="9">
        <f>'Cable Tray Selection'!T10</f>
        <v>30</v>
      </c>
      <c r="H9" s="9">
        <f>'Cable Tray Selection'!U10</f>
        <v>15</v>
      </c>
    </row>
    <row r="10" spans="1:8">
      <c r="A10" s="9" t="str">
        <f>'Cable Tray Selection'!B11</f>
        <v>Basket Tray with cover</v>
      </c>
      <c r="B10" s="9" t="str">
        <f>'Cable Tray Selection'!C11&amp;"x"&amp;'Cable Tray Selection'!D11</f>
        <v>400x50</v>
      </c>
      <c r="C10" s="9">
        <f>'Cable Tray Selection'!J11</f>
        <v>52</v>
      </c>
      <c r="D10" s="9">
        <f>'Cable Tray Selection'!K11</f>
        <v>26</v>
      </c>
      <c r="E10" s="9">
        <f>'Cable Tray Selection'!O11</f>
        <v>44</v>
      </c>
      <c r="F10" s="9">
        <f>'Cable Tray Selection'!P11</f>
        <v>22</v>
      </c>
      <c r="G10" s="9">
        <f>'Cable Tray Selection'!T11</f>
        <v>40</v>
      </c>
      <c r="H10" s="9">
        <f>'Cable Tray Selection'!U11</f>
        <v>20</v>
      </c>
    </row>
    <row r="11" spans="1:8">
      <c r="A11" s="9" t="str">
        <f>'Cable Tray Selection'!B12</f>
        <v>Cable Tray with cover</v>
      </c>
      <c r="B11" s="9" t="str">
        <f>'Cable Tray Selection'!C12&amp;"x"&amp;'Cable Tray Selection'!D12</f>
        <v>400x100</v>
      </c>
      <c r="C11" s="9">
        <f>'Cable Tray Selection'!J12</f>
        <v>52</v>
      </c>
      <c r="D11" s="9">
        <f>'Cable Tray Selection'!K12</f>
        <v>26</v>
      </c>
      <c r="E11" s="9">
        <f>'Cable Tray Selection'!O12</f>
        <v>44</v>
      </c>
      <c r="F11" s="9">
        <f>'Cable Tray Selection'!P12</f>
        <v>22</v>
      </c>
      <c r="G11" s="9">
        <f>'Cable Tray Selection'!T12</f>
        <v>40</v>
      </c>
      <c r="H11" s="9">
        <f>'Cable Tray Selection'!U12</f>
        <v>20</v>
      </c>
    </row>
    <row r="12" spans="1:8">
      <c r="A12" s="9" t="str">
        <f>'Cable Tray Selection'!B13</f>
        <v>Cable Tray with cover</v>
      </c>
      <c r="B12" s="9" t="str">
        <f>'Cable Tray Selection'!C13&amp;"x"&amp;'Cable Tray Selection'!D13</f>
        <v>500x100</v>
      </c>
      <c r="C12" s="9">
        <f>'Cable Tray Selection'!J13</f>
        <v>66</v>
      </c>
      <c r="D12" s="9">
        <f>'Cable Tray Selection'!K13</f>
        <v>33</v>
      </c>
      <c r="E12" s="9">
        <f>'Cable Tray Selection'!O13</f>
        <v>56</v>
      </c>
      <c r="F12" s="9">
        <f>'Cable Tray Selection'!P13</f>
        <v>28</v>
      </c>
      <c r="G12" s="9">
        <f>'Cable Tray Selection'!T13</f>
        <v>50</v>
      </c>
      <c r="H12" s="9">
        <f>'Cable Tray Selection'!U13</f>
        <v>25</v>
      </c>
    </row>
    <row r="13" spans="1:8">
      <c r="A13" s="9" t="str">
        <f>'Cable Tray Selection'!B14</f>
        <v>Cable Tray with cover</v>
      </c>
      <c r="B13" s="9" t="str">
        <f>'Cable Tray Selection'!C14&amp;"x"&amp;'Cable Tray Selection'!D14</f>
        <v>600x100</v>
      </c>
      <c r="C13" s="9">
        <f>'Cable Tray Selection'!J14</f>
        <v>80</v>
      </c>
      <c r="D13" s="9">
        <f>'Cable Tray Selection'!K14</f>
        <v>40</v>
      </c>
      <c r="E13" s="9">
        <f>'Cable Tray Selection'!O14</f>
        <v>68</v>
      </c>
      <c r="F13" s="9">
        <f>'Cable Tray Selection'!P14</f>
        <v>34</v>
      </c>
      <c r="G13" s="9">
        <f>'Cable Tray Selection'!T14</f>
        <v>60</v>
      </c>
      <c r="H13" s="9">
        <f>'Cable Tray Selection'!U14</f>
        <v>30</v>
      </c>
    </row>
    <row r="14" spans="1:8">
      <c r="A14" s="9" t="str">
        <f>'Cable Tray Selection'!B15</f>
        <v>Cable Tray with cover</v>
      </c>
      <c r="B14" s="9" t="str">
        <f>'Cable Tray Selection'!C15&amp;"x"&amp;'Cable Tray Selection'!D15</f>
        <v>700x100</v>
      </c>
      <c r="C14" s="9">
        <f>'Cable Tray Selection'!J15</f>
        <v>92</v>
      </c>
      <c r="D14" s="9">
        <f>'Cable Tray Selection'!K15</f>
        <v>46</v>
      </c>
      <c r="E14" s="9">
        <f>'Cable Tray Selection'!O15</f>
        <v>80</v>
      </c>
      <c r="F14" s="9">
        <f>'Cable Tray Selection'!P15</f>
        <v>40</v>
      </c>
      <c r="G14" s="9">
        <f>'Cable Tray Selection'!T15</f>
        <v>70</v>
      </c>
      <c r="H14" s="9">
        <f>'Cable Tray Selection'!U15</f>
        <v>35</v>
      </c>
    </row>
    <row r="15" spans="1:8" ht="16.5">
      <c r="A15" s="13" t="s">
        <v>5</v>
      </c>
      <c r="B15" s="10"/>
      <c r="C15" s="10"/>
      <c r="D15" s="10"/>
      <c r="E15" s="10"/>
      <c r="F15" s="10"/>
      <c r="G15" s="10"/>
      <c r="H15" s="10"/>
    </row>
    <row r="16" spans="1:8">
      <c r="A16" s="10" t="s">
        <v>57</v>
      </c>
      <c r="B16" s="10" t="s">
        <v>63</v>
      </c>
      <c r="C16" s="10" t="s">
        <v>64</v>
      </c>
      <c r="D16" s="10" t="s">
        <v>69</v>
      </c>
      <c r="E16" s="10"/>
      <c r="F16" s="10"/>
      <c r="G16" s="10"/>
      <c r="H16" s="10"/>
    </row>
    <row r="17" spans="1:8">
      <c r="A17" s="10" t="s">
        <v>58</v>
      </c>
      <c r="B17" t="s">
        <v>59</v>
      </c>
      <c r="C17" s="10"/>
      <c r="D17" s="10"/>
      <c r="E17" s="10"/>
      <c r="F17" s="10"/>
      <c r="G17" s="10"/>
      <c r="H17" s="10"/>
    </row>
    <row r="18" spans="1:8">
      <c r="A18" s="10" t="s">
        <v>60</v>
      </c>
      <c r="B18" t="s">
        <v>61</v>
      </c>
      <c r="C18" s="10"/>
      <c r="D18" s="10"/>
      <c r="E18" s="10"/>
      <c r="F18" s="10"/>
      <c r="G18" s="10"/>
      <c r="H18" s="10"/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Cable Tray Selection</vt:lpstr>
      <vt:lpstr>Quick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Itthiphan Sakunwanthanasak</cp:lastModifiedBy>
  <dcterms:modified xsi:type="dcterms:W3CDTF">2026-07-31T06:35:25Z</dcterms:modified>
</cp:coreProperties>
</file>