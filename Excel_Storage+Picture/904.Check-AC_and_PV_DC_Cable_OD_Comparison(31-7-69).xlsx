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pttor-my.sharepoint.com/personal/620116_pttor_com/Documents/PTTOR มาตรฐาน/_หนังสือ เกี่ยวกับ EE/__ขั้นตอนการออกแบบ Solar Rooftop-V.1/_1.Guideline Solar Survey/"/>
    </mc:Choice>
  </mc:AlternateContent>
  <xr:revisionPtr revIDLastSave="32" documentId="11_74D1BB08D47FE6F34074DA35336320F309871D8A" xr6:coauthVersionLast="47" xr6:coauthVersionMax="47" xr10:uidLastSave="{FF44045E-A724-43E0-8BA5-5E18DBE5C227}"/>
  <bookViews>
    <workbookView xWindow="-120" yWindow="-120" windowWidth="29040" windowHeight="15720" activeTab="3" xr2:uid="{00000000-000D-0000-FFFF-FFFF00000000}"/>
  </bookViews>
  <sheets>
    <sheet name="AC_OD_Comparison" sheetId="1" r:id="rId1"/>
    <sheet name="Brand_Summary" sheetId="2" r:id="rId2"/>
    <sheet name="Sources" sheetId="3" r:id="rId3"/>
    <sheet name="PV_DC_Comparison" sheetId="4" r:id="rId4"/>
    <sheet name="PV_DC_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4" l="1"/>
  <c r="E31" i="4"/>
  <c r="E30" i="4"/>
  <c r="E29" i="4"/>
  <c r="L24" i="4"/>
  <c r="K24" i="4"/>
  <c r="G24" i="4"/>
  <c r="L23" i="4"/>
  <c r="K23" i="4"/>
  <c r="G23" i="4"/>
  <c r="L22" i="4"/>
  <c r="K22" i="4"/>
  <c r="G22" i="4"/>
  <c r="L21" i="4"/>
  <c r="K21" i="4"/>
  <c r="G21" i="4"/>
  <c r="L20" i="4"/>
  <c r="K20" i="4"/>
  <c r="M20" i="4" s="1"/>
  <c r="G20" i="4"/>
  <c r="L19" i="4"/>
  <c r="K19" i="4"/>
  <c r="G19" i="4"/>
  <c r="L18" i="4"/>
  <c r="K18" i="4"/>
  <c r="G18" i="4"/>
  <c r="L17" i="4"/>
  <c r="K17" i="4"/>
  <c r="G17" i="4"/>
  <c r="L16" i="4"/>
  <c r="K16" i="4"/>
  <c r="M16" i="4" s="1"/>
  <c r="G16" i="4"/>
  <c r="L15" i="4"/>
  <c r="K15" i="4"/>
  <c r="G15" i="4"/>
  <c r="L14" i="4"/>
  <c r="K14" i="4"/>
  <c r="G14" i="4"/>
  <c r="L13" i="4"/>
  <c r="K13" i="4"/>
  <c r="G13" i="4"/>
  <c r="L12" i="4"/>
  <c r="K12" i="4"/>
  <c r="G12" i="4"/>
  <c r="L11" i="4"/>
  <c r="K11" i="4"/>
  <c r="G11" i="4"/>
  <c r="L10" i="4"/>
  <c r="K10" i="4"/>
  <c r="M10" i="4" s="1"/>
  <c r="G10" i="4"/>
  <c r="L9" i="4"/>
  <c r="K9" i="4"/>
  <c r="G9" i="4"/>
  <c r="L8" i="4"/>
  <c r="K8" i="4"/>
  <c r="G8" i="4"/>
  <c r="L7" i="4"/>
  <c r="K7" i="4"/>
  <c r="G7" i="4"/>
  <c r="L6" i="4"/>
  <c r="K6" i="4"/>
  <c r="G6" i="4"/>
  <c r="L5" i="4"/>
  <c r="K5" i="4"/>
  <c r="G5" i="4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39" i="1"/>
  <c r="L39" i="1"/>
  <c r="K39" i="1"/>
  <c r="J39" i="1"/>
  <c r="M38" i="1"/>
  <c r="L38" i="1"/>
  <c r="K38" i="1"/>
  <c r="J38" i="1"/>
  <c r="M37" i="1"/>
  <c r="L37" i="1"/>
  <c r="K37" i="1"/>
  <c r="J37" i="1"/>
  <c r="M36" i="1"/>
  <c r="L36" i="1"/>
  <c r="K36" i="1"/>
  <c r="J36" i="1"/>
  <c r="M35" i="1"/>
  <c r="L35" i="1"/>
  <c r="K35" i="1"/>
  <c r="J35" i="1"/>
  <c r="M34" i="1"/>
  <c r="L34" i="1"/>
  <c r="K34" i="1"/>
  <c r="J34" i="1"/>
  <c r="M33" i="1"/>
  <c r="L33" i="1"/>
  <c r="K33" i="1"/>
  <c r="J33" i="1"/>
  <c r="M32" i="1"/>
  <c r="L32" i="1"/>
  <c r="K32" i="1"/>
  <c r="J32" i="1"/>
  <c r="M31" i="1"/>
  <c r="L31" i="1"/>
  <c r="K31" i="1"/>
  <c r="J31" i="1"/>
  <c r="M30" i="1"/>
  <c r="L30" i="1"/>
  <c r="K30" i="1"/>
  <c r="J30" i="1"/>
  <c r="M29" i="1"/>
  <c r="L29" i="1"/>
  <c r="K29" i="1"/>
  <c r="J29" i="1"/>
  <c r="M28" i="1"/>
  <c r="L28" i="1"/>
  <c r="K28" i="1"/>
  <c r="J28" i="1"/>
  <c r="M27" i="1"/>
  <c r="L27" i="1"/>
  <c r="K27" i="1"/>
  <c r="J27" i="1"/>
  <c r="M26" i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K5" i="1"/>
  <c r="J5" i="1"/>
  <c r="M17" i="4" l="1"/>
  <c r="M18" i="4"/>
  <c r="M11" i="4"/>
  <c r="M6" i="4"/>
  <c r="M22" i="4"/>
  <c r="M12" i="4"/>
  <c r="M7" i="4"/>
  <c r="M23" i="4"/>
  <c r="M19" i="4"/>
  <c r="M9" i="4"/>
  <c r="M5" i="4"/>
  <c r="M21" i="4"/>
  <c r="M13" i="4"/>
  <c r="M8" i="4"/>
  <c r="M24" i="4"/>
  <c r="M14" i="4"/>
  <c r="M15" i="4"/>
</calcChain>
</file>

<file path=xl/sharedStrings.xml><?xml version="1.0" encoding="utf-8"?>
<sst xmlns="http://schemas.openxmlformats.org/spreadsheetml/2006/main" count="261" uniqueCount="139">
  <si>
    <t>AC Cable OD Comparison — CV / CV-FD 0.6/1 kV, 1–4 Cores</t>
  </si>
  <si>
    <t>เปรียบเทียบค่า Overall Diameter (Approx.) จากเอกสารผู้ผลิตโดยตรง; ช่องว่างหมายถึงผู้ผลิตไม่ระบุหรือไม่มีขนาดนั้นในเอกสารที่ตรวจสอบ</t>
  </si>
  <si>
    <t>Cores</t>
  </si>
  <si>
    <t>Size (mm²)</t>
  </si>
  <si>
    <t>Phelps Dodge OD (mm)</t>
  </si>
  <si>
    <t>Thai Yazaki OD (mm)</t>
  </si>
  <si>
    <t>S-Super OD (mm)</t>
  </si>
  <si>
    <t>Minimum OD (mm)</t>
  </si>
  <si>
    <t>Maximum OD (mm)</t>
  </si>
  <si>
    <t>OD Spread (mm)</t>
  </si>
  <si>
    <t>Conservative Design OD (mm)</t>
  </si>
  <si>
    <t>Design Cable Area (mm²)</t>
  </si>
  <si>
    <t>Phelps vs Max (mm)</t>
  </si>
  <si>
    <t>Yazaki vs Max (mm)</t>
  </si>
  <si>
    <t>S-Super vs Max (mm)</t>
  </si>
  <si>
    <t>หมายเหตุ</t>
  </si>
  <si>
    <t>Yazaki datasheet ไม่มีขนาดนี้</t>
  </si>
  <si>
    <t>Manufacturer Coverage and Key Findings</t>
  </si>
  <si>
    <t>Manufacturer</t>
  </si>
  <si>
    <t>Product compared</t>
  </si>
  <si>
    <t>Size coverage in source</t>
  </si>
  <si>
    <t>OD status</t>
  </si>
  <si>
    <t>Engineering note</t>
  </si>
  <si>
    <t>Source URL</t>
  </si>
  <si>
    <t>Phelps Dodge</t>
  </si>
  <si>
    <t>CV / CV-FD 0.6/1 kV</t>
  </si>
  <si>
    <t>1–4</t>
  </si>
  <si>
    <t>1C 25–630; 2–4C 10–400 mm²</t>
  </si>
  <si>
    <t>ยืนยันครบตามรายการผู้ใช้</t>
  </si>
  <si>
    <t>ใช้เป็นฐานเดิม; ค่าเป็น overall diameter approx.</t>
  </si>
  <si>
    <t>https://www.pdcable.com/wp-content/uploads/2019/09/Phelps-Dodge_Low-Voltage-Cable.pdf</t>
  </si>
  <si>
    <t>Thai Yazaki</t>
  </si>
  <si>
    <t>YK FD-0.6/1kV-CV</t>
  </si>
  <si>
    <t>1C 2.5–240; 2–4C 2.5–70 mm²</t>
  </si>
  <si>
    <t>ยืนยันจาก datasheet ทางการ</t>
  </si>
  <si>
    <t>เป็นสาย flame-retardant super-soft; โครงสร้างอาจต่างจาก CV มาตรฐานทั่วไป</t>
  </si>
  <si>
    <t>https://thaiyazaki-electricwire.co.th/images/productvoltage/_20210945120845YK%20FD-0.6-1KV-CV.pdf</t>
  </si>
  <si>
    <t>S-Super Cable</t>
  </si>
  <si>
    <t>0.6/1kV CV</t>
  </si>
  <si>
    <t>1C 1.5–800; 2–4C 1.5–400 mm²</t>
  </si>
  <si>
    <t>ยืนยันจาก technical catalogue</t>
  </si>
  <si>
    <t>ครอบคลุมช่วงขนาดใกล้เคียง Phelps มากที่สุด</t>
  </si>
  <si>
    <t>https://www.ssupercable.com/wp-content/uploads/2021/09/SSUPER-CABLE2018_2018.pdf</t>
  </si>
  <si>
    <t>Bangkok Cable</t>
  </si>
  <si>
    <t>0.6/1 kV CV / FR-CV</t>
  </si>
  <si>
    <t>Price list แสดงช่วงขนาด แต่ guide ไม่แสดง OD</t>
  </si>
  <si>
    <t>ยังไม่มี OD ในเอกสารสาธารณะที่ตรวจพบ</t>
  </si>
  <si>
    <t>ควรขอ technical datasheet หรือ approved material submittal จาก BCC ก่อนใช้ออกแบบ</t>
  </si>
  <si>
    <t>https://storage.bangkokcable.com/bcc/BCC_Electric_Design_Installation_Guide_2d9bc2ea5f.pdf</t>
  </si>
  <si>
    <t>Source Register</t>
  </si>
  <si>
    <t>Document</t>
  </si>
  <si>
    <t>Relevant pages</t>
  </si>
  <si>
    <t>Verification method</t>
  </si>
  <si>
    <t>URL</t>
  </si>
  <si>
    <t>Low Voltage Power Cables</t>
  </si>
  <si>
    <t>CV tables, 1–4 cores</t>
  </si>
  <si>
    <t>Official PDF table</t>
  </si>
  <si>
    <t>YK FD-0.6/1KV-CV</t>
  </si>
  <si>
    <t>Pages B57–B60</t>
  </si>
  <si>
    <t>Official PDF screenshots/table</t>
  </si>
  <si>
    <t>Technical Data 2018</t>
  </si>
  <si>
    <t>PDF pages 75–78 / catalogue B41–B44</t>
  </si>
  <si>
    <t>Official manufacturer catalogue table</t>
  </si>
  <si>
    <t>Electric Design &amp; Installation Guide</t>
  </si>
  <si>
    <t>CV product overview</t>
  </si>
  <si>
    <t>Official guide confirms product, but no OD table</t>
  </si>
  <si>
    <t>PV DC Cable OD Comparison — H1Z2Z2-K / Equivalent, 4–16 mm²</t>
  </si>
  <si>
    <t>Design OD ใช้ค่า OD Max เพื่อคำนวณพื้นที่สายและความจุ Cable Tray/Wireway; ช่องว่างหมายถึงยังไม่มีค่า OD ที่ยืนยันจากเอกสารผู้ผลิต</t>
  </si>
  <si>
    <t>Brand</t>
  </si>
  <si>
    <t>Product / Cable family</t>
  </si>
  <si>
    <t>OD Min (mm)</t>
  </si>
  <si>
    <t>OD Max (mm)</t>
  </si>
  <si>
    <t>Design OD (mm)</t>
  </si>
  <si>
    <t>Cable area (mm²)</t>
  </si>
  <si>
    <t>OD data type</t>
  </si>
  <si>
    <t>Verification / Note</t>
  </si>
  <si>
    <t>Min by size (mm)</t>
  </si>
  <si>
    <t>Max by size (mm)</t>
  </si>
  <si>
    <t>Spread by size (mm)</t>
  </si>
  <si>
    <t>H1Z2Z2-K</t>
  </si>
  <si>
    <t>ช่วง OD</t>
  </si>
  <si>
    <t>ยืนยันจาก datasheet ผู้ผลิต</t>
  </si>
  <si>
    <t>https://www.pdcable.com/wp-content/uploads/2025/05/PV-CABLE-V.2.3_Pic-scaled.jpg</t>
  </si>
  <si>
    <t>HELUKABEL</t>
  </si>
  <si>
    <t>SOLARFLEX-X H1Z2Z2-K</t>
  </si>
  <si>
    <t>Datasheet ลงวันที่ 2 Mar 2026</t>
  </si>
  <si>
    <t>https://assets-cdn.helukabel.com/suppliers/Helukabel/documents/db/HELUKABEL_M713529_EN_GB.pdf</t>
  </si>
  <si>
    <t>Nexans / La Triveneta Cavi</t>
  </si>
  <si>
    <t>NPE SUN PLUS H1Z2Z2-K</t>
  </si>
  <si>
    <t>สี/รหัสสินค้าบางรุ่นมีค่าเท่ากัน</t>
  </si>
  <si>
    <t>https://latrivenetacavi.nexans.com/en/products/industrial-and-logistics/industrial-Dca-class/NPE%C2%AE-SUN-P38533.html</t>
  </si>
  <si>
    <t>เลือกช่วงของรุ่นอ้างอิงสีดำ 038023101</t>
  </si>
  <si>
    <t>เลือกช่วงของรุ่นอ้างอิง 038025101</t>
  </si>
  <si>
    <t>ไม่มีข้อมูล</t>
  </si>
  <si>
    <t>หน้า product family ที่ตรวจพบไม่แสดง 16 mm²</t>
  </si>
  <si>
    <t>Prysmian</t>
  </si>
  <si>
    <t>TECSUN (PV) H1Z2Z2-K</t>
  </si>
  <si>
    <t>ยังไม่พบ datasheet รายขนาด 4 mm² ที่ยืนยัน OD</t>
  </si>
  <si>
    <t>https://datasheet.prysmiangroup.com/</t>
  </si>
  <si>
    <t>Nominal OD</t>
  </si>
  <si>
    <t>ยืนยันจาก datasheet รุ่น 1x6</t>
  </si>
  <si>
    <t>https://datasheet.prysmiangroup.com/pdf/datasheet/en/333612</t>
  </si>
  <si>
    <t>ยังไม่พบ datasheet รายขนาด 10 mm² ที่ยืนยัน OD</t>
  </si>
  <si>
    <t>ยังไม่พบ datasheet รายขนาด 16 mm² ที่ยืนยัน OD</t>
  </si>
  <si>
    <t>LAPP</t>
  </si>
  <si>
    <t>ÖLFLEX SOLAR XLR-E</t>
  </si>
  <si>
    <t>ยืนยันจากหน้า product official</t>
  </si>
  <si>
    <t>https://e.lapp.com/apac/p/cables-for-industry-specific-applications/oelflex-solar-xlr-e-swr-1-x-4-wh-bk-85120802</t>
  </si>
  <si>
    <t>หน้า official ที่พบไม่แสดงค่าตัวเลขในผลค้นหา</t>
  </si>
  <si>
    <t>https://e.lapp.com/apac/p/cables-for-industry-specific-applications/oelflex-solar-xlr-e-swr-1-x-6-wh-bu-85120853</t>
  </si>
  <si>
    <t>https://e.lapp.com/apac/p/cables-for-industry-specific-applications/oelflex-solar-xlr-e-swr-1-x-10-wh-rd-85120904</t>
  </si>
  <si>
    <t>หน้า official ระบุ min 8.5, nominal 8.7, max 8.9 mm</t>
  </si>
  <si>
    <t>https://e.lapp.com/in/p/cables-for-industry-specific-applications/oelflex-solar-xlr-e-1x16-wh-bk-rd-1023670</t>
  </si>
  <si>
    <t>Recommended Conservative Design OD by Size</t>
  </si>
  <si>
    <t>Minimum verified OD (mm)</t>
  </si>
  <si>
    <t>Maximum verified OD (mm)</t>
  </si>
  <si>
    <t>Recommended Design OD (mm)</t>
  </si>
  <si>
    <t>Brand defining maximum</t>
  </si>
  <si>
    <t>Phelps / Nexans</t>
  </si>
  <si>
    <t>Nexans</t>
  </si>
  <si>
    <t>PV DC Source Register</t>
  </si>
  <si>
    <t>Document / Page</t>
  </si>
  <si>
    <t>Sizes verified</t>
  </si>
  <si>
    <t>OD treatment</t>
  </si>
  <si>
    <t>PV Cable V2.3 manufacturer datasheet</t>
  </si>
  <si>
    <t>4, 6, 10, 16 mm²</t>
  </si>
  <si>
    <t>Use OD maximum of stated range</t>
  </si>
  <si>
    <t>SOLARFLEX-X H1Z2Z2-K technical data, 02.03.2026</t>
  </si>
  <si>
    <t>Use max of min–max range</t>
  </si>
  <si>
    <t>NPE SUN PLUS H1Z2Z2-K product family</t>
  </si>
  <si>
    <t>4, 6, 10 mm²</t>
  </si>
  <si>
    <t>Use max of product range; exact value may vary by product reference/colour</t>
  </si>
  <si>
    <t>TECSUN (PV) H1Z2Z2-K 1x6 datasheet</t>
  </si>
  <si>
    <t>6 mm²</t>
  </si>
  <si>
    <t>ÖLFLEX SOLAR XLR-E official product pages</t>
  </si>
  <si>
    <t>4, 10, 16 mm²</t>
  </si>
  <si>
    <t>Nominal OD, except 16 mm² includes min/nominal/max</t>
  </si>
  <si>
    <t>https://e.lapp.com/apac/p/cables-for-industry-specific-applications/</t>
  </si>
  <si>
    <t>- คือ น้อยกว่า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</si>
</sst>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7" formatCode="0.0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color rgb="FF173F5F"/>
      <name val="Carlito"/>
    </font>
    <font>
      <i/>
      <sz val="11"/>
      <color rgb="FF5B214D"/>
      <name val="Carlito"/>
    </font>
    <font>
      <b/>
      <sz val="11"/>
      <name val="Carlito"/>
      <charset val="222"/>
    </font>
    <font>
      <b/>
      <sz val="11"/>
      <color rgb="FFFF0000"/>
      <name val="Carlito"/>
      <charset val="222"/>
    </font>
    <font>
      <sz val="11"/>
      <name val="Carlito"/>
      <charset val="222"/>
    </font>
    <font>
      <sz val="11"/>
      <color rgb="FFFF000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0639B"/>
      </patternFill>
    </fill>
    <fill>
      <patternFill patternType="solid">
        <fgColor rgb="FFE8F1F5"/>
      </patternFill>
    </fill>
    <fill>
      <patternFill patternType="solid">
        <fgColor rgb="FF6B2D5C"/>
      </patternFill>
    </fill>
    <fill>
      <patternFill patternType="solid">
        <fgColor rgb="FF8A3D74"/>
      </patternFill>
    </fill>
    <fill>
      <patternFill patternType="solid">
        <fgColor rgb="FFF3E8F0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187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8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wrapText="1"/>
    </xf>
    <xf numFmtId="0" fontId="1" fillId="5" borderId="0" xfId="0" applyFont="1" applyFill="1" applyAlignment="1">
      <alignment horizontal="center" vertical="center"/>
    </xf>
    <xf numFmtId="0" fontId="4" fillId="7" borderId="0" xfId="0" applyFont="1" applyFill="1" applyAlignment="1">
      <alignment wrapText="1"/>
    </xf>
    <xf numFmtId="1" fontId="0" fillId="0" borderId="0" xfId="0" applyNumberFormat="1" applyAlignment="1">
      <alignment horizontal="center" vertical="center" wrapText="1"/>
    </xf>
    <xf numFmtId="187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187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87" fontId="7" fillId="0" borderId="0" xfId="0" applyNumberFormat="1" applyFont="1" applyAlignment="1">
      <alignment horizontal="center" vertical="center" wrapText="1"/>
    </xf>
    <xf numFmtId="0" fontId="5" fillId="9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5" fillId="12" borderId="0" xfId="0" applyFont="1" applyFill="1" applyAlignment="1">
      <alignment horizontal="left" vertical="center" wrapText="1"/>
    </xf>
    <xf numFmtId="0" fontId="5" fillId="13" borderId="0" xfId="0" applyFont="1" applyFill="1" applyAlignment="1">
      <alignment horizontal="left" vertical="center" wrapText="1"/>
    </xf>
    <xf numFmtId="0" fontId="0" fillId="8" borderId="0" xfId="0" applyFill="1"/>
    <xf numFmtId="0" fontId="8" fillId="8" borderId="0" xfId="0" quotePrefix="1" applyFont="1" applyFill="1" applyAlignment="1">
      <alignment horizontal="center"/>
    </xf>
  </cellXfs>
  <cellStyles count="1">
    <cellStyle name="Normal" xfId="0" builtinId="0"/>
  </cellStyles>
  <dxfs count="2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166534"/>
      </font>
    </dxf>
    <dxf>
      <font>
        <color rgb="FF166534"/>
      </font>
    </dxf>
    <dxf>
      <font>
        <b/>
        <charset val="222"/>
      </font>
      <alignment horizontal="center" vertical="center" textRotation="0" wrapText="1" indent="0" justifyLastLine="0" shrinkToFit="0" readingOrder="0"/>
    </dxf>
    <dxf>
      <font>
        <b val="0"/>
        <charset val="222"/>
      </font>
      <alignment horizontal="center" vertical="center" textRotation="0" wrapText="1" indent="0" justifyLastLine="0" shrinkToFit="0" readingOrder="0"/>
    </dxf>
    <dxf>
      <font>
        <b val="0"/>
        <charset val="222"/>
      </font>
      <alignment horizontal="center" vertical="center" textRotation="0" wrapText="1" indent="0" justifyLastLine="0" shrinkToFit="0" readingOrder="0"/>
    </dxf>
    <dxf>
      <font>
        <b/>
        <charset val="222"/>
      </font>
      <alignment horizontal="left" vertical="center" textRotation="0" wrapText="1" indent="0" justifyLastLine="0" shrinkToFit="0" readingOrder="0"/>
    </dxf>
    <dxf>
      <font>
        <b val="0"/>
        <charset val="222"/>
      </font>
      <alignment horizontal="center" vertical="center" textRotation="0" wrapText="1" indent="0" justifyLastLine="0" shrinkToFit="0" readingOrder="0"/>
    </dxf>
    <dxf>
      <font>
        <b val="0"/>
        <charset val="222"/>
      </font>
      <alignment horizontal="center" vertical="center" textRotation="0" wrapText="1" indent="0" justifyLastLine="0" shrinkToFit="0" readingOrder="0"/>
    </dxf>
    <dxf>
      <font>
        <b val="0"/>
        <charset val="222"/>
      </font>
      <alignment horizontal="center" vertical="center" textRotation="0" wrapText="1" indent="0" justifyLastLine="0" shrinkToFit="0" readingOrder="0"/>
    </dxf>
    <dxf>
      <font>
        <b val="0"/>
        <charset val="222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2400E"/>
      </font>
      <fill>
        <patternFill patternType="solid">
          <bgColor rgb="FFFEF3C7"/>
        </patternFill>
      </fill>
    </dxf>
  </dxfs>
  <tableStyles count="1" defaultTableStyle="TableStyleMedium2" defaultPivotStyle="PivotStyleLight16">
    <tableStyle name="Invisible" pivot="0" table="0" count="0" xr9:uid="{ED9A4C51-5545-4997-90F6-0FBBA7F8E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ODComparisonTable" displayName="ACODComparisonTable" ref="A4:N56" dataDxfId="14">
  <tableColumns count="14">
    <tableColumn id="1" xr3:uid="{00000000-0010-0000-0000-000001000000}" name="Cores" dataDxfId="25"/>
    <tableColumn id="2" xr3:uid="{00000000-0010-0000-0000-000002000000}" name="Size (mm²)" dataDxfId="24"/>
    <tableColumn id="3" xr3:uid="{00000000-0010-0000-0000-000003000000}" name="Phelps Dodge OD (mm)" dataDxfId="23"/>
    <tableColumn id="4" xr3:uid="{00000000-0010-0000-0000-000004000000}" name="Thai Yazaki OD (mm)" dataDxfId="22"/>
    <tableColumn id="5" xr3:uid="{00000000-0010-0000-0000-000005000000}" name="S-Super OD (mm)" dataDxfId="21"/>
    <tableColumn id="6" xr3:uid="{00000000-0010-0000-0000-000006000000}" name="Minimum OD (mm)" dataDxfId="20"/>
    <tableColumn id="7" xr3:uid="{00000000-0010-0000-0000-000007000000}" name="Maximum OD (mm)" dataDxfId="19"/>
    <tableColumn id="8" xr3:uid="{00000000-0010-0000-0000-000008000000}" name="OD Spread (mm)" dataDxfId="18"/>
    <tableColumn id="9" xr3:uid="{00000000-0010-0000-0000-000009000000}" name="Conservative Design OD (mm)" dataDxfId="17"/>
    <tableColumn id="10" xr3:uid="{00000000-0010-0000-0000-00000A000000}" name="Design Cable Area (mm²)" dataDxfId="1"/>
    <tableColumn id="11" xr3:uid="{00000000-0010-0000-0000-00000B000000}" name="Phelps vs Max (mm)" dataDxfId="2"/>
    <tableColumn id="12" xr3:uid="{00000000-0010-0000-0000-00000C000000}" name="Yazaki vs Max (mm)" dataDxfId="0"/>
    <tableColumn id="13" xr3:uid="{00000000-0010-0000-0000-00000D000000}" name="S-Super vs Max (mm)" dataDxfId="16"/>
    <tableColumn id="14" xr3:uid="{00000000-0010-0000-0000-00000E000000}" name="หมายเหตุ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randSummaryTable" displayName="BrandSummaryTable" ref="A3:G7">
  <tableColumns count="7">
    <tableColumn id="1" xr3:uid="{00000000-0010-0000-0100-000001000000}" name="Manufacturer"/>
    <tableColumn id="2" xr3:uid="{00000000-0010-0000-0100-000002000000}" name="Product compared"/>
    <tableColumn id="3" xr3:uid="{00000000-0010-0000-0100-000003000000}" name="Cores"/>
    <tableColumn id="4" xr3:uid="{00000000-0010-0000-0100-000004000000}" name="Size coverage in source"/>
    <tableColumn id="5" xr3:uid="{00000000-0010-0000-0100-000005000000}" name="OD status"/>
    <tableColumn id="6" xr3:uid="{00000000-0010-0000-0100-000006000000}" name="Engineering note"/>
    <tableColumn id="7" xr3:uid="{00000000-0010-0000-0100-000007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RegisterTable" displayName="SourceRegisterTable" ref="A3:E7">
  <tableColumns count="5">
    <tableColumn id="1" xr3:uid="{00000000-0010-0000-0200-000001000000}" name="Manufacturer"/>
    <tableColumn id="2" xr3:uid="{00000000-0010-0000-0200-000002000000}" name="Document"/>
    <tableColumn id="3" xr3:uid="{00000000-0010-0000-0200-000003000000}" name="Relevant pages"/>
    <tableColumn id="4" xr3:uid="{00000000-0010-0000-0200-000004000000}" name="Verification method"/>
    <tableColumn id="5" xr3:uid="{00000000-0010-0000-0200-000005000000}" name="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VDCComparisonTable" displayName="PVDCComparisonTable" ref="A4:M24">
  <tableColumns count="13">
    <tableColumn id="1" xr3:uid="{00000000-0010-0000-0300-000001000000}" name="Brand" dataDxfId="9"/>
    <tableColumn id="2" xr3:uid="{00000000-0010-0000-0300-000002000000}" name="Product / Cable family" dataDxfId="10"/>
    <tableColumn id="3" xr3:uid="{00000000-0010-0000-0300-000003000000}" name="Size (mm²)" dataDxfId="13"/>
    <tableColumn id="4" xr3:uid="{00000000-0010-0000-0300-000004000000}" name="OD Min (mm)" dataDxfId="8"/>
    <tableColumn id="5" xr3:uid="{00000000-0010-0000-0300-000005000000}" name="OD Max (mm)" dataDxfId="6"/>
    <tableColumn id="6" xr3:uid="{00000000-0010-0000-0300-000006000000}" name="Design OD (mm)" dataDxfId="7"/>
    <tableColumn id="7" xr3:uid="{00000000-0010-0000-0300-000007000000}" name="Cable area (mm²)" dataDxfId="12"/>
    <tableColumn id="8" xr3:uid="{00000000-0010-0000-0300-000008000000}" name="OD data type" dataDxfId="11"/>
    <tableColumn id="9" xr3:uid="{00000000-0010-0000-0300-000009000000}" name="Verification / Note"/>
    <tableColumn id="10" xr3:uid="{00000000-0010-0000-0300-00000A000000}" name="Source URL"/>
    <tableColumn id="11" xr3:uid="{00000000-0010-0000-0300-00000B000000}" name="Min by size (mm)"/>
    <tableColumn id="12" xr3:uid="{00000000-0010-0000-0300-00000C000000}" name="Max by size (mm)"/>
    <tableColumn id="13" xr3:uid="{00000000-0010-0000-0300-00000D000000}" name="Spread by size (mm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VDCSourcesTable" displayName="PVDCSourcesTable" ref="A3:E8">
  <tableColumns count="5">
    <tableColumn id="1" xr3:uid="{00000000-0010-0000-0400-000001000000}" name="Brand"/>
    <tableColumn id="2" xr3:uid="{00000000-0010-0000-0400-000002000000}" name="Document / Page"/>
    <tableColumn id="3" xr3:uid="{00000000-0010-0000-0400-000003000000}" name="Sizes verified"/>
    <tableColumn id="4" xr3:uid="{00000000-0010-0000-0400-000004000000}" name="OD treatment"/>
    <tableColumn id="5" xr3:uid="{00000000-0010-0000-0400-000005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56"/>
  <sheetViews>
    <sheetView workbookViewId="0">
      <selection activeCell="I8" sqref="I8"/>
    </sheetView>
  </sheetViews>
  <sheetFormatPr defaultRowHeight="14.25"/>
  <cols>
    <col min="1" max="1" width="8" customWidth="1"/>
    <col min="2" max="2" width="11" customWidth="1"/>
    <col min="3" max="4" width="16" customWidth="1"/>
    <col min="5" max="5" width="15" customWidth="1"/>
    <col min="6" max="7" width="13" customWidth="1"/>
    <col min="8" max="8" width="12" customWidth="1"/>
    <col min="9" max="10" width="18" customWidth="1"/>
    <col min="11" max="13" width="15" customWidth="1"/>
    <col min="14" max="14" width="35" customWidth="1"/>
  </cols>
  <sheetData>
    <row r="1" spans="1:14" ht="27.9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3.950000000000003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s="15" customFormat="1" ht="16.5">
      <c r="C3" s="16">
        <v>1</v>
      </c>
      <c r="D3" s="16">
        <v>2</v>
      </c>
      <c r="E3" s="16">
        <v>3</v>
      </c>
      <c r="I3" s="17"/>
      <c r="K3" s="27" t="s">
        <v>138</v>
      </c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>
      <c r="A5" s="12">
        <v>1</v>
      </c>
      <c r="B5" s="13">
        <v>25</v>
      </c>
      <c r="C5" s="13">
        <v>12</v>
      </c>
      <c r="D5" s="13">
        <v>11</v>
      </c>
      <c r="E5" s="13">
        <v>11</v>
      </c>
      <c r="F5" s="13">
        <v>11</v>
      </c>
      <c r="G5" s="13">
        <v>12</v>
      </c>
      <c r="H5" s="13">
        <v>1</v>
      </c>
      <c r="I5" s="13">
        <v>12</v>
      </c>
      <c r="J5" s="13">
        <f t="shared" ref="J5:J36" si="0">PI()*I5^2/4</f>
        <v>113.09733552923255</v>
      </c>
      <c r="K5" s="13">
        <f t="shared" ref="K5:K36" si="1">IF(C5="","",C5-I5)</f>
        <v>0</v>
      </c>
      <c r="L5" s="13">
        <f t="shared" ref="L5:L36" si="2">IF(D5="","",D5-I5)</f>
        <v>-1</v>
      </c>
      <c r="M5" s="13">
        <f t="shared" ref="M5:M36" si="3">IF(E5="","",E5-I5)</f>
        <v>-1</v>
      </c>
      <c r="N5" s="14"/>
    </row>
    <row r="6" spans="1:14">
      <c r="A6" s="12">
        <v>1</v>
      </c>
      <c r="B6" s="13">
        <v>35</v>
      </c>
      <c r="C6" s="13">
        <v>13</v>
      </c>
      <c r="D6" s="13">
        <v>12.2</v>
      </c>
      <c r="E6" s="13">
        <v>12</v>
      </c>
      <c r="F6" s="13">
        <v>12</v>
      </c>
      <c r="G6" s="13">
        <v>13</v>
      </c>
      <c r="H6" s="13">
        <v>1</v>
      </c>
      <c r="I6" s="13">
        <v>13</v>
      </c>
      <c r="J6" s="13">
        <f t="shared" si="0"/>
        <v>132.73228961416876</v>
      </c>
      <c r="K6" s="13">
        <f t="shared" si="1"/>
        <v>0</v>
      </c>
      <c r="L6" s="13">
        <f t="shared" si="2"/>
        <v>-0.80000000000000071</v>
      </c>
      <c r="M6" s="13">
        <f t="shared" si="3"/>
        <v>-1</v>
      </c>
      <c r="N6" s="14"/>
    </row>
    <row r="7" spans="1:14">
      <c r="A7" s="12">
        <v>1</v>
      </c>
      <c r="B7" s="13">
        <v>50</v>
      </c>
      <c r="C7" s="13">
        <v>15</v>
      </c>
      <c r="D7" s="13">
        <v>13.5</v>
      </c>
      <c r="E7" s="13">
        <v>13.5</v>
      </c>
      <c r="F7" s="13">
        <v>13.5</v>
      </c>
      <c r="G7" s="13">
        <v>15</v>
      </c>
      <c r="H7" s="13">
        <v>1.5</v>
      </c>
      <c r="I7" s="13">
        <v>15</v>
      </c>
      <c r="J7" s="13">
        <f t="shared" si="0"/>
        <v>176.71458676442586</v>
      </c>
      <c r="K7" s="13">
        <f t="shared" si="1"/>
        <v>0</v>
      </c>
      <c r="L7" s="13">
        <f t="shared" si="2"/>
        <v>-1.5</v>
      </c>
      <c r="M7" s="13">
        <f t="shared" si="3"/>
        <v>-1.5</v>
      </c>
      <c r="N7" s="14"/>
    </row>
    <row r="8" spans="1:14">
      <c r="A8" s="12">
        <v>1</v>
      </c>
      <c r="B8" s="13">
        <v>70</v>
      </c>
      <c r="C8" s="13">
        <v>16</v>
      </c>
      <c r="D8" s="13">
        <v>15.5</v>
      </c>
      <c r="E8" s="13">
        <v>16</v>
      </c>
      <c r="F8" s="13">
        <v>15.5</v>
      </c>
      <c r="G8" s="13">
        <v>16</v>
      </c>
      <c r="H8" s="13">
        <v>0.5</v>
      </c>
      <c r="I8" s="13">
        <v>16</v>
      </c>
      <c r="J8" s="13">
        <f t="shared" si="0"/>
        <v>201.06192982974676</v>
      </c>
      <c r="K8" s="13">
        <f t="shared" si="1"/>
        <v>0</v>
      </c>
      <c r="L8" s="13">
        <f t="shared" si="2"/>
        <v>-0.5</v>
      </c>
      <c r="M8" s="13">
        <f t="shared" si="3"/>
        <v>0</v>
      </c>
      <c r="N8" s="14"/>
    </row>
    <row r="9" spans="1:14">
      <c r="A9" s="12">
        <v>1</v>
      </c>
      <c r="B9" s="13">
        <v>95</v>
      </c>
      <c r="C9" s="13">
        <v>18</v>
      </c>
      <c r="D9" s="13">
        <v>17.5</v>
      </c>
      <c r="E9" s="13">
        <v>18.2</v>
      </c>
      <c r="F9" s="13">
        <v>17.5</v>
      </c>
      <c r="G9" s="13">
        <v>18.2</v>
      </c>
      <c r="H9" s="13">
        <v>0.69999999999999929</v>
      </c>
      <c r="I9" s="13">
        <v>18.2</v>
      </c>
      <c r="J9" s="13">
        <f t="shared" si="0"/>
        <v>260.15528764377075</v>
      </c>
      <c r="K9" s="13">
        <f t="shared" si="1"/>
        <v>-0.19999999999999929</v>
      </c>
      <c r="L9" s="13">
        <f t="shared" si="2"/>
        <v>-0.69999999999999929</v>
      </c>
      <c r="M9" s="13">
        <f t="shared" si="3"/>
        <v>0</v>
      </c>
      <c r="N9" s="14"/>
    </row>
    <row r="10" spans="1:14">
      <c r="A10" s="12">
        <v>1</v>
      </c>
      <c r="B10" s="13">
        <v>120</v>
      </c>
      <c r="C10" s="13">
        <v>20</v>
      </c>
      <c r="D10" s="13">
        <v>19</v>
      </c>
      <c r="E10" s="13">
        <v>19.899999999999999</v>
      </c>
      <c r="F10" s="13">
        <v>19</v>
      </c>
      <c r="G10" s="13">
        <v>20</v>
      </c>
      <c r="H10" s="13">
        <v>1</v>
      </c>
      <c r="I10" s="13">
        <v>20</v>
      </c>
      <c r="J10" s="13">
        <f t="shared" si="0"/>
        <v>314.15926535897933</v>
      </c>
      <c r="K10" s="13">
        <f t="shared" si="1"/>
        <v>0</v>
      </c>
      <c r="L10" s="13">
        <f t="shared" si="2"/>
        <v>-1</v>
      </c>
      <c r="M10" s="13">
        <f t="shared" si="3"/>
        <v>-0.10000000000000142</v>
      </c>
      <c r="N10" s="14"/>
    </row>
    <row r="11" spans="1:14">
      <c r="A11" s="12">
        <v>1</v>
      </c>
      <c r="B11" s="13">
        <v>150</v>
      </c>
      <c r="C11" s="13">
        <v>22</v>
      </c>
      <c r="D11" s="13">
        <v>21</v>
      </c>
      <c r="E11" s="13">
        <v>22.1</v>
      </c>
      <c r="F11" s="13">
        <v>21</v>
      </c>
      <c r="G11" s="13">
        <v>22.1</v>
      </c>
      <c r="H11" s="13">
        <v>1.1000000000000014</v>
      </c>
      <c r="I11" s="13">
        <v>22.1</v>
      </c>
      <c r="J11" s="13">
        <f t="shared" si="0"/>
        <v>383.5963169849478</v>
      </c>
      <c r="K11" s="13">
        <f t="shared" si="1"/>
        <v>-0.10000000000000142</v>
      </c>
      <c r="L11" s="13">
        <f t="shared" si="2"/>
        <v>-1.1000000000000014</v>
      </c>
      <c r="M11" s="13">
        <f t="shared" si="3"/>
        <v>0</v>
      </c>
      <c r="N11" s="14"/>
    </row>
    <row r="12" spans="1:14">
      <c r="A12" s="12">
        <v>1</v>
      </c>
      <c r="B12" s="13">
        <v>185</v>
      </c>
      <c r="C12" s="13">
        <v>24</v>
      </c>
      <c r="D12" s="13">
        <v>23</v>
      </c>
      <c r="E12" s="13">
        <v>23</v>
      </c>
      <c r="F12" s="13">
        <v>23</v>
      </c>
      <c r="G12" s="13">
        <v>24</v>
      </c>
      <c r="H12" s="13">
        <v>1</v>
      </c>
      <c r="I12" s="13">
        <v>24</v>
      </c>
      <c r="J12" s="13">
        <f t="shared" si="0"/>
        <v>452.38934211693021</v>
      </c>
      <c r="K12" s="13">
        <f t="shared" si="1"/>
        <v>0</v>
      </c>
      <c r="L12" s="13">
        <f t="shared" si="2"/>
        <v>-1</v>
      </c>
      <c r="M12" s="13">
        <f t="shared" si="3"/>
        <v>-1</v>
      </c>
      <c r="N12" s="14"/>
    </row>
    <row r="13" spans="1:14">
      <c r="A13" s="12">
        <v>1</v>
      </c>
      <c r="B13" s="13">
        <v>240</v>
      </c>
      <c r="C13" s="13">
        <v>27</v>
      </c>
      <c r="D13" s="13">
        <v>26</v>
      </c>
      <c r="E13" s="13">
        <v>26.5</v>
      </c>
      <c r="F13" s="13">
        <v>26</v>
      </c>
      <c r="G13" s="13">
        <v>27</v>
      </c>
      <c r="H13" s="13">
        <v>1</v>
      </c>
      <c r="I13" s="13">
        <v>27</v>
      </c>
      <c r="J13" s="13">
        <f t="shared" si="0"/>
        <v>572.55526111673976</v>
      </c>
      <c r="K13" s="13">
        <f t="shared" si="1"/>
        <v>0</v>
      </c>
      <c r="L13" s="13">
        <f t="shared" si="2"/>
        <v>-1</v>
      </c>
      <c r="M13" s="13">
        <f t="shared" si="3"/>
        <v>-0.5</v>
      </c>
      <c r="N13" s="14"/>
    </row>
    <row r="14" spans="1:14">
      <c r="A14" s="12">
        <v>1</v>
      </c>
      <c r="B14" s="13">
        <v>300</v>
      </c>
      <c r="C14" s="13">
        <v>30</v>
      </c>
      <c r="D14" s="13"/>
      <c r="E14" s="13">
        <v>29</v>
      </c>
      <c r="F14" s="13">
        <v>29</v>
      </c>
      <c r="G14" s="13">
        <v>30</v>
      </c>
      <c r="H14" s="13">
        <v>1</v>
      </c>
      <c r="I14" s="13">
        <v>30</v>
      </c>
      <c r="J14" s="13">
        <f t="shared" si="0"/>
        <v>706.85834705770344</v>
      </c>
      <c r="K14" s="13">
        <f t="shared" si="1"/>
        <v>0</v>
      </c>
      <c r="L14" s="13" t="str">
        <f t="shared" si="2"/>
        <v/>
      </c>
      <c r="M14" s="13">
        <f t="shared" si="3"/>
        <v>-1</v>
      </c>
      <c r="N14" s="14" t="s">
        <v>16</v>
      </c>
    </row>
    <row r="15" spans="1:14">
      <c r="A15" s="12">
        <v>1</v>
      </c>
      <c r="B15" s="13">
        <v>400</v>
      </c>
      <c r="C15" s="13">
        <v>33</v>
      </c>
      <c r="D15" s="13"/>
      <c r="E15" s="13">
        <v>32</v>
      </c>
      <c r="F15" s="13">
        <v>32</v>
      </c>
      <c r="G15" s="13">
        <v>33</v>
      </c>
      <c r="H15" s="13">
        <v>1</v>
      </c>
      <c r="I15" s="13">
        <v>33</v>
      </c>
      <c r="J15" s="13">
        <f t="shared" si="0"/>
        <v>855.2985999398212</v>
      </c>
      <c r="K15" s="13">
        <f t="shared" si="1"/>
        <v>0</v>
      </c>
      <c r="L15" s="13" t="str">
        <f t="shared" si="2"/>
        <v/>
      </c>
      <c r="M15" s="13">
        <f t="shared" si="3"/>
        <v>-1</v>
      </c>
      <c r="N15" s="14" t="s">
        <v>16</v>
      </c>
    </row>
    <row r="16" spans="1:14">
      <c r="A16" s="12">
        <v>1</v>
      </c>
      <c r="B16" s="13">
        <v>500</v>
      </c>
      <c r="C16" s="13">
        <v>37</v>
      </c>
      <c r="D16" s="13"/>
      <c r="E16" s="13">
        <v>36</v>
      </c>
      <c r="F16" s="13">
        <v>36</v>
      </c>
      <c r="G16" s="13">
        <v>37</v>
      </c>
      <c r="H16" s="13">
        <v>1</v>
      </c>
      <c r="I16" s="13">
        <v>37</v>
      </c>
      <c r="J16" s="13">
        <f t="shared" si="0"/>
        <v>1075.2100856911068</v>
      </c>
      <c r="K16" s="13">
        <f t="shared" si="1"/>
        <v>0</v>
      </c>
      <c r="L16" s="13" t="str">
        <f t="shared" si="2"/>
        <v/>
      </c>
      <c r="M16" s="13">
        <f t="shared" si="3"/>
        <v>-1</v>
      </c>
      <c r="N16" s="14" t="s">
        <v>16</v>
      </c>
    </row>
    <row r="17" spans="1:14">
      <c r="A17" s="12">
        <v>1</v>
      </c>
      <c r="B17" s="13">
        <v>630</v>
      </c>
      <c r="C17" s="13">
        <v>41</v>
      </c>
      <c r="D17" s="13"/>
      <c r="E17" s="13">
        <v>40</v>
      </c>
      <c r="F17" s="13">
        <v>40</v>
      </c>
      <c r="G17" s="13">
        <v>41</v>
      </c>
      <c r="H17" s="13">
        <v>1</v>
      </c>
      <c r="I17" s="13">
        <v>41</v>
      </c>
      <c r="J17" s="13">
        <f t="shared" si="0"/>
        <v>1320.2543126711105</v>
      </c>
      <c r="K17" s="13">
        <f t="shared" si="1"/>
        <v>0</v>
      </c>
      <c r="L17" s="13" t="str">
        <f t="shared" si="2"/>
        <v/>
      </c>
      <c r="M17" s="13">
        <f t="shared" si="3"/>
        <v>-1</v>
      </c>
      <c r="N17" s="14" t="s">
        <v>16</v>
      </c>
    </row>
    <row r="18" spans="1:14">
      <c r="A18" s="12">
        <v>2</v>
      </c>
      <c r="B18" s="13">
        <v>10</v>
      </c>
      <c r="C18" s="13">
        <v>16</v>
      </c>
      <c r="D18" s="13">
        <v>15.8</v>
      </c>
      <c r="E18" s="13">
        <v>15</v>
      </c>
      <c r="F18" s="13">
        <v>15</v>
      </c>
      <c r="G18" s="13">
        <v>16</v>
      </c>
      <c r="H18" s="13">
        <v>1</v>
      </c>
      <c r="I18" s="13">
        <v>16</v>
      </c>
      <c r="J18" s="13">
        <f t="shared" si="0"/>
        <v>201.06192982974676</v>
      </c>
      <c r="K18" s="13">
        <f t="shared" si="1"/>
        <v>0</v>
      </c>
      <c r="L18" s="13">
        <f t="shared" si="2"/>
        <v>-0.19999999999999929</v>
      </c>
      <c r="M18" s="13">
        <f t="shared" si="3"/>
        <v>-1</v>
      </c>
      <c r="N18" s="14"/>
    </row>
    <row r="19" spans="1:14">
      <c r="A19" s="12">
        <v>2</v>
      </c>
      <c r="B19" s="13">
        <v>16</v>
      </c>
      <c r="C19" s="13">
        <v>18</v>
      </c>
      <c r="D19" s="13">
        <v>17.5</v>
      </c>
      <c r="E19" s="13">
        <v>17</v>
      </c>
      <c r="F19" s="13">
        <v>17</v>
      </c>
      <c r="G19" s="13">
        <v>18</v>
      </c>
      <c r="H19" s="13">
        <v>1</v>
      </c>
      <c r="I19" s="13">
        <v>18</v>
      </c>
      <c r="J19" s="13">
        <f t="shared" si="0"/>
        <v>254.46900494077323</v>
      </c>
      <c r="K19" s="13">
        <f t="shared" si="1"/>
        <v>0</v>
      </c>
      <c r="L19" s="13">
        <f t="shared" si="2"/>
        <v>-0.5</v>
      </c>
      <c r="M19" s="13">
        <f t="shared" si="3"/>
        <v>-1</v>
      </c>
      <c r="N19" s="14"/>
    </row>
    <row r="20" spans="1:14">
      <c r="A20" s="12">
        <v>2</v>
      </c>
      <c r="B20" s="13">
        <v>25</v>
      </c>
      <c r="C20" s="13">
        <v>21</v>
      </c>
      <c r="D20" s="13">
        <v>21</v>
      </c>
      <c r="E20" s="13">
        <v>21</v>
      </c>
      <c r="F20" s="13">
        <v>21</v>
      </c>
      <c r="G20" s="13">
        <v>21</v>
      </c>
      <c r="H20" s="13">
        <v>0</v>
      </c>
      <c r="I20" s="13">
        <v>21</v>
      </c>
      <c r="J20" s="13">
        <f t="shared" si="0"/>
        <v>346.36059005827468</v>
      </c>
      <c r="K20" s="13">
        <f t="shared" si="1"/>
        <v>0</v>
      </c>
      <c r="L20" s="13">
        <f t="shared" si="2"/>
        <v>0</v>
      </c>
      <c r="M20" s="13">
        <f t="shared" si="3"/>
        <v>0</v>
      </c>
      <c r="N20" s="14"/>
    </row>
    <row r="21" spans="1:14">
      <c r="A21" s="12">
        <v>2</v>
      </c>
      <c r="B21" s="13">
        <v>35</v>
      </c>
      <c r="C21" s="13">
        <v>23</v>
      </c>
      <c r="D21" s="13">
        <v>23</v>
      </c>
      <c r="E21" s="13">
        <v>23</v>
      </c>
      <c r="F21" s="13">
        <v>23</v>
      </c>
      <c r="G21" s="13">
        <v>23</v>
      </c>
      <c r="H21" s="13">
        <v>0</v>
      </c>
      <c r="I21" s="13">
        <v>23</v>
      </c>
      <c r="J21" s="13">
        <f t="shared" si="0"/>
        <v>415.47562843725012</v>
      </c>
      <c r="K21" s="13">
        <f t="shared" si="1"/>
        <v>0</v>
      </c>
      <c r="L21" s="13">
        <f t="shared" si="2"/>
        <v>0</v>
      </c>
      <c r="M21" s="13">
        <f t="shared" si="3"/>
        <v>0</v>
      </c>
      <c r="N21" s="14"/>
    </row>
    <row r="22" spans="1:14">
      <c r="A22" s="12">
        <v>2</v>
      </c>
      <c r="B22" s="13">
        <v>50</v>
      </c>
      <c r="C22" s="13">
        <v>25</v>
      </c>
      <c r="D22" s="13">
        <v>26</v>
      </c>
      <c r="E22" s="13">
        <v>26</v>
      </c>
      <c r="F22" s="13">
        <v>25</v>
      </c>
      <c r="G22" s="13">
        <v>26</v>
      </c>
      <c r="H22" s="13">
        <v>1</v>
      </c>
      <c r="I22" s="13">
        <v>26</v>
      </c>
      <c r="J22" s="13">
        <f t="shared" si="0"/>
        <v>530.92915845667505</v>
      </c>
      <c r="K22" s="13">
        <f t="shared" si="1"/>
        <v>-1</v>
      </c>
      <c r="L22" s="13">
        <f t="shared" si="2"/>
        <v>0</v>
      </c>
      <c r="M22" s="13">
        <f t="shared" si="3"/>
        <v>0</v>
      </c>
      <c r="N22" s="14"/>
    </row>
    <row r="23" spans="1:14">
      <c r="A23" s="12">
        <v>2</v>
      </c>
      <c r="B23" s="13">
        <v>70</v>
      </c>
      <c r="C23" s="13">
        <v>30</v>
      </c>
      <c r="D23" s="13">
        <v>30</v>
      </c>
      <c r="E23" s="13">
        <v>29</v>
      </c>
      <c r="F23" s="13">
        <v>29</v>
      </c>
      <c r="G23" s="13">
        <v>30</v>
      </c>
      <c r="H23" s="13">
        <v>1</v>
      </c>
      <c r="I23" s="13">
        <v>30</v>
      </c>
      <c r="J23" s="13">
        <f t="shared" si="0"/>
        <v>706.85834705770344</v>
      </c>
      <c r="K23" s="13">
        <f t="shared" si="1"/>
        <v>0</v>
      </c>
      <c r="L23" s="13">
        <f t="shared" si="2"/>
        <v>0</v>
      </c>
      <c r="M23" s="13">
        <f t="shared" si="3"/>
        <v>-1</v>
      </c>
      <c r="N23" s="14"/>
    </row>
    <row r="24" spans="1:14">
      <c r="A24" s="12">
        <v>2</v>
      </c>
      <c r="B24" s="13">
        <v>95</v>
      </c>
      <c r="C24" s="13">
        <v>33</v>
      </c>
      <c r="D24" s="13"/>
      <c r="E24" s="13">
        <v>33</v>
      </c>
      <c r="F24" s="13">
        <v>33</v>
      </c>
      <c r="G24" s="13">
        <v>33</v>
      </c>
      <c r="H24" s="13">
        <v>0</v>
      </c>
      <c r="I24" s="13">
        <v>33</v>
      </c>
      <c r="J24" s="13">
        <f t="shared" si="0"/>
        <v>855.2985999398212</v>
      </c>
      <c r="K24" s="13">
        <f t="shared" si="1"/>
        <v>0</v>
      </c>
      <c r="L24" s="13" t="str">
        <f t="shared" si="2"/>
        <v/>
      </c>
      <c r="M24" s="13">
        <f t="shared" si="3"/>
        <v>0</v>
      </c>
      <c r="N24" s="14" t="s">
        <v>16</v>
      </c>
    </row>
    <row r="25" spans="1:14">
      <c r="A25" s="12">
        <v>2</v>
      </c>
      <c r="B25" s="13">
        <v>120</v>
      </c>
      <c r="C25" s="13">
        <v>37</v>
      </c>
      <c r="D25" s="13"/>
      <c r="E25" s="13">
        <v>37</v>
      </c>
      <c r="F25" s="13">
        <v>37</v>
      </c>
      <c r="G25" s="13">
        <v>37</v>
      </c>
      <c r="H25" s="13">
        <v>0</v>
      </c>
      <c r="I25" s="13">
        <v>37</v>
      </c>
      <c r="J25" s="13">
        <f t="shared" si="0"/>
        <v>1075.2100856911068</v>
      </c>
      <c r="K25" s="13">
        <f t="shared" si="1"/>
        <v>0</v>
      </c>
      <c r="L25" s="13" t="str">
        <f t="shared" si="2"/>
        <v/>
      </c>
      <c r="M25" s="13">
        <f t="shared" si="3"/>
        <v>0</v>
      </c>
      <c r="N25" s="14" t="s">
        <v>16</v>
      </c>
    </row>
    <row r="26" spans="1:14">
      <c r="A26" s="12">
        <v>2</v>
      </c>
      <c r="B26" s="13">
        <v>150</v>
      </c>
      <c r="C26" s="13">
        <v>41</v>
      </c>
      <c r="D26" s="13"/>
      <c r="E26" s="13">
        <v>41</v>
      </c>
      <c r="F26" s="13">
        <v>41</v>
      </c>
      <c r="G26" s="13">
        <v>41</v>
      </c>
      <c r="H26" s="13">
        <v>0</v>
      </c>
      <c r="I26" s="13">
        <v>41</v>
      </c>
      <c r="J26" s="13">
        <f t="shared" si="0"/>
        <v>1320.2543126711105</v>
      </c>
      <c r="K26" s="13">
        <f t="shared" si="1"/>
        <v>0</v>
      </c>
      <c r="L26" s="13" t="str">
        <f t="shared" si="2"/>
        <v/>
      </c>
      <c r="M26" s="13">
        <f t="shared" si="3"/>
        <v>0</v>
      </c>
      <c r="N26" s="14" t="s">
        <v>16</v>
      </c>
    </row>
    <row r="27" spans="1:14">
      <c r="A27" s="12">
        <v>2</v>
      </c>
      <c r="B27" s="13">
        <v>185</v>
      </c>
      <c r="C27" s="13">
        <v>45</v>
      </c>
      <c r="D27" s="13"/>
      <c r="E27" s="13">
        <v>45</v>
      </c>
      <c r="F27" s="13">
        <v>45</v>
      </c>
      <c r="G27" s="13">
        <v>45</v>
      </c>
      <c r="H27" s="13">
        <v>0</v>
      </c>
      <c r="I27" s="13">
        <v>45</v>
      </c>
      <c r="J27" s="13">
        <f t="shared" si="0"/>
        <v>1590.4312808798327</v>
      </c>
      <c r="K27" s="13">
        <f t="shared" si="1"/>
        <v>0</v>
      </c>
      <c r="L27" s="13" t="str">
        <f t="shared" si="2"/>
        <v/>
      </c>
      <c r="M27" s="13">
        <f t="shared" si="3"/>
        <v>0</v>
      </c>
      <c r="N27" s="14" t="s">
        <v>16</v>
      </c>
    </row>
    <row r="28" spans="1:14">
      <c r="A28" s="12">
        <v>2</v>
      </c>
      <c r="B28" s="13">
        <v>240</v>
      </c>
      <c r="C28" s="13">
        <v>51</v>
      </c>
      <c r="D28" s="13"/>
      <c r="E28" s="13">
        <v>51</v>
      </c>
      <c r="F28" s="13">
        <v>51</v>
      </c>
      <c r="G28" s="13">
        <v>51</v>
      </c>
      <c r="H28" s="13">
        <v>0</v>
      </c>
      <c r="I28" s="13">
        <v>51</v>
      </c>
      <c r="J28" s="13">
        <f t="shared" si="0"/>
        <v>2042.8206229967629</v>
      </c>
      <c r="K28" s="13">
        <f t="shared" si="1"/>
        <v>0</v>
      </c>
      <c r="L28" s="13" t="str">
        <f t="shared" si="2"/>
        <v/>
      </c>
      <c r="M28" s="13">
        <f t="shared" si="3"/>
        <v>0</v>
      </c>
      <c r="N28" s="14" t="s">
        <v>16</v>
      </c>
    </row>
    <row r="29" spans="1:14">
      <c r="A29" s="12">
        <v>2</v>
      </c>
      <c r="B29" s="13">
        <v>300</v>
      </c>
      <c r="C29" s="13">
        <v>55</v>
      </c>
      <c r="D29" s="13"/>
      <c r="E29" s="13">
        <v>56</v>
      </c>
      <c r="F29" s="13">
        <v>55</v>
      </c>
      <c r="G29" s="13">
        <v>56</v>
      </c>
      <c r="H29" s="13">
        <v>1</v>
      </c>
      <c r="I29" s="13">
        <v>56</v>
      </c>
      <c r="J29" s="13">
        <f t="shared" si="0"/>
        <v>2463.0086404143976</v>
      </c>
      <c r="K29" s="13">
        <f t="shared" si="1"/>
        <v>-1</v>
      </c>
      <c r="L29" s="13" t="str">
        <f t="shared" si="2"/>
        <v/>
      </c>
      <c r="M29" s="13">
        <f t="shared" si="3"/>
        <v>0</v>
      </c>
      <c r="N29" s="14" t="s">
        <v>16</v>
      </c>
    </row>
    <row r="30" spans="1:14">
      <c r="A30" s="12">
        <v>2</v>
      </c>
      <c r="B30" s="13">
        <v>400</v>
      </c>
      <c r="C30" s="13">
        <v>62</v>
      </c>
      <c r="D30" s="13"/>
      <c r="E30" s="13">
        <v>63</v>
      </c>
      <c r="F30" s="13">
        <v>62</v>
      </c>
      <c r="G30" s="13">
        <v>63</v>
      </c>
      <c r="H30" s="13">
        <v>1</v>
      </c>
      <c r="I30" s="13">
        <v>63</v>
      </c>
      <c r="J30" s="13">
        <f t="shared" si="0"/>
        <v>3117.2453105244722</v>
      </c>
      <c r="K30" s="13">
        <f t="shared" si="1"/>
        <v>-1</v>
      </c>
      <c r="L30" s="13" t="str">
        <f t="shared" si="2"/>
        <v/>
      </c>
      <c r="M30" s="13">
        <f t="shared" si="3"/>
        <v>0</v>
      </c>
      <c r="N30" s="14" t="s">
        <v>16</v>
      </c>
    </row>
    <row r="31" spans="1:14">
      <c r="A31" s="12">
        <v>3</v>
      </c>
      <c r="B31" s="13">
        <v>10</v>
      </c>
      <c r="C31" s="13">
        <v>16</v>
      </c>
      <c r="D31" s="13">
        <v>16.5</v>
      </c>
      <c r="E31" s="13">
        <v>16</v>
      </c>
      <c r="F31" s="13">
        <v>16</v>
      </c>
      <c r="G31" s="13">
        <v>16.5</v>
      </c>
      <c r="H31" s="13">
        <v>0.5</v>
      </c>
      <c r="I31" s="13">
        <v>16.5</v>
      </c>
      <c r="J31" s="13">
        <f t="shared" si="0"/>
        <v>213.8246499849553</v>
      </c>
      <c r="K31" s="13">
        <f t="shared" si="1"/>
        <v>-0.5</v>
      </c>
      <c r="L31" s="13">
        <f t="shared" si="2"/>
        <v>0</v>
      </c>
      <c r="M31" s="13">
        <f t="shared" si="3"/>
        <v>-0.5</v>
      </c>
      <c r="N31" s="14"/>
    </row>
    <row r="32" spans="1:14">
      <c r="A32" s="12">
        <v>3</v>
      </c>
      <c r="B32" s="13">
        <v>16</v>
      </c>
      <c r="C32" s="13">
        <v>18</v>
      </c>
      <c r="D32" s="13">
        <v>18.5</v>
      </c>
      <c r="E32" s="13">
        <v>18</v>
      </c>
      <c r="F32" s="13">
        <v>18</v>
      </c>
      <c r="G32" s="13">
        <v>18.5</v>
      </c>
      <c r="H32" s="13">
        <v>0.5</v>
      </c>
      <c r="I32" s="13">
        <v>18.5</v>
      </c>
      <c r="J32" s="13">
        <f t="shared" si="0"/>
        <v>268.80252142277669</v>
      </c>
      <c r="K32" s="13">
        <f t="shared" si="1"/>
        <v>-0.5</v>
      </c>
      <c r="L32" s="13">
        <f t="shared" si="2"/>
        <v>0</v>
      </c>
      <c r="M32" s="13">
        <f t="shared" si="3"/>
        <v>-0.5</v>
      </c>
      <c r="N32" s="14"/>
    </row>
    <row r="33" spans="1:14">
      <c r="A33" s="12">
        <v>3</v>
      </c>
      <c r="B33" s="13">
        <v>25</v>
      </c>
      <c r="C33" s="13">
        <v>22</v>
      </c>
      <c r="D33" s="13">
        <v>22</v>
      </c>
      <c r="E33" s="13">
        <v>22</v>
      </c>
      <c r="F33" s="13">
        <v>22</v>
      </c>
      <c r="G33" s="13">
        <v>22</v>
      </c>
      <c r="H33" s="13">
        <v>0</v>
      </c>
      <c r="I33" s="13">
        <v>22</v>
      </c>
      <c r="J33" s="13">
        <f t="shared" si="0"/>
        <v>380.13271108436498</v>
      </c>
      <c r="K33" s="13">
        <f t="shared" si="1"/>
        <v>0</v>
      </c>
      <c r="L33" s="13">
        <f t="shared" si="2"/>
        <v>0</v>
      </c>
      <c r="M33" s="13">
        <f t="shared" si="3"/>
        <v>0</v>
      </c>
      <c r="N33" s="14"/>
    </row>
    <row r="34" spans="1:14">
      <c r="A34" s="12">
        <v>3</v>
      </c>
      <c r="B34" s="13">
        <v>35</v>
      </c>
      <c r="C34" s="13">
        <v>24</v>
      </c>
      <c r="D34" s="13">
        <v>25</v>
      </c>
      <c r="E34" s="13">
        <v>24</v>
      </c>
      <c r="F34" s="13">
        <v>24</v>
      </c>
      <c r="G34" s="13">
        <v>25</v>
      </c>
      <c r="H34" s="13">
        <v>1</v>
      </c>
      <c r="I34" s="13">
        <v>25</v>
      </c>
      <c r="J34" s="13">
        <f t="shared" si="0"/>
        <v>490.87385212340519</v>
      </c>
      <c r="K34" s="13">
        <f t="shared" si="1"/>
        <v>-1</v>
      </c>
      <c r="L34" s="13">
        <f t="shared" si="2"/>
        <v>0</v>
      </c>
      <c r="M34" s="13">
        <f t="shared" si="3"/>
        <v>-1</v>
      </c>
      <c r="N34" s="14"/>
    </row>
    <row r="35" spans="1:14">
      <c r="A35" s="12">
        <v>3</v>
      </c>
      <c r="B35" s="13">
        <v>50</v>
      </c>
      <c r="C35" s="13">
        <v>27</v>
      </c>
      <c r="D35" s="13">
        <v>28</v>
      </c>
      <c r="E35" s="13">
        <v>27</v>
      </c>
      <c r="F35" s="13">
        <v>27</v>
      </c>
      <c r="G35" s="13">
        <v>28</v>
      </c>
      <c r="H35" s="13">
        <v>1</v>
      </c>
      <c r="I35" s="13">
        <v>28</v>
      </c>
      <c r="J35" s="13">
        <f t="shared" si="0"/>
        <v>615.75216010359941</v>
      </c>
      <c r="K35" s="13">
        <f t="shared" si="1"/>
        <v>-1</v>
      </c>
      <c r="L35" s="13">
        <f t="shared" si="2"/>
        <v>0</v>
      </c>
      <c r="M35" s="13">
        <f t="shared" si="3"/>
        <v>-1</v>
      </c>
      <c r="N35" s="14"/>
    </row>
    <row r="36" spans="1:14">
      <c r="A36" s="12">
        <v>3</v>
      </c>
      <c r="B36" s="13">
        <v>70</v>
      </c>
      <c r="C36" s="13">
        <v>32</v>
      </c>
      <c r="D36" s="13">
        <v>32</v>
      </c>
      <c r="E36" s="13">
        <v>31</v>
      </c>
      <c r="F36" s="13">
        <v>31</v>
      </c>
      <c r="G36" s="13">
        <v>32</v>
      </c>
      <c r="H36" s="13">
        <v>1</v>
      </c>
      <c r="I36" s="13">
        <v>32</v>
      </c>
      <c r="J36" s="13">
        <f t="shared" si="0"/>
        <v>804.24771931898704</v>
      </c>
      <c r="K36" s="13">
        <f t="shared" si="1"/>
        <v>0</v>
      </c>
      <c r="L36" s="13">
        <f t="shared" si="2"/>
        <v>0</v>
      </c>
      <c r="M36" s="13">
        <f t="shared" si="3"/>
        <v>-1</v>
      </c>
      <c r="N36" s="14"/>
    </row>
    <row r="37" spans="1:14">
      <c r="A37" s="12">
        <v>3</v>
      </c>
      <c r="B37" s="13">
        <v>95</v>
      </c>
      <c r="C37" s="13">
        <v>36</v>
      </c>
      <c r="D37" s="13"/>
      <c r="E37" s="13">
        <v>36</v>
      </c>
      <c r="F37" s="13">
        <v>36</v>
      </c>
      <c r="G37" s="13">
        <v>36</v>
      </c>
      <c r="H37" s="13">
        <v>0</v>
      </c>
      <c r="I37" s="13">
        <v>36</v>
      </c>
      <c r="J37" s="13">
        <f t="shared" ref="J37:J68" si="4">PI()*I37^2/4</f>
        <v>1017.8760197630929</v>
      </c>
      <c r="K37" s="13">
        <f t="shared" ref="K37:K56" si="5">IF(C37="","",C37-I37)</f>
        <v>0</v>
      </c>
      <c r="L37" s="13" t="str">
        <f t="shared" ref="L37:L56" si="6">IF(D37="","",D37-I37)</f>
        <v/>
      </c>
      <c r="M37" s="13">
        <f t="shared" ref="M37:M56" si="7">IF(E37="","",E37-I37)</f>
        <v>0</v>
      </c>
      <c r="N37" s="14" t="s">
        <v>16</v>
      </c>
    </row>
    <row r="38" spans="1:14">
      <c r="A38" s="12">
        <v>3</v>
      </c>
      <c r="B38" s="13">
        <v>120</v>
      </c>
      <c r="C38" s="13">
        <v>39</v>
      </c>
      <c r="D38" s="13"/>
      <c r="E38" s="13">
        <v>39</v>
      </c>
      <c r="F38" s="13">
        <v>39</v>
      </c>
      <c r="G38" s="13">
        <v>39</v>
      </c>
      <c r="H38" s="13">
        <v>0</v>
      </c>
      <c r="I38" s="13">
        <v>39</v>
      </c>
      <c r="J38" s="13">
        <f t="shared" si="4"/>
        <v>1194.5906065275187</v>
      </c>
      <c r="K38" s="13">
        <f t="shared" si="5"/>
        <v>0</v>
      </c>
      <c r="L38" s="13" t="str">
        <f t="shared" si="6"/>
        <v/>
      </c>
      <c r="M38" s="13">
        <f t="shared" si="7"/>
        <v>0</v>
      </c>
      <c r="N38" s="14" t="s">
        <v>16</v>
      </c>
    </row>
    <row r="39" spans="1:14">
      <c r="A39" s="12">
        <v>3</v>
      </c>
      <c r="B39" s="13">
        <v>150</v>
      </c>
      <c r="C39" s="13">
        <v>43</v>
      </c>
      <c r="D39" s="13"/>
      <c r="E39" s="13">
        <v>44</v>
      </c>
      <c r="F39" s="13">
        <v>43</v>
      </c>
      <c r="G39" s="13">
        <v>44</v>
      </c>
      <c r="H39" s="13">
        <v>1</v>
      </c>
      <c r="I39" s="13">
        <v>44</v>
      </c>
      <c r="J39" s="13">
        <f t="shared" si="4"/>
        <v>1520.5308443374599</v>
      </c>
      <c r="K39" s="13">
        <f t="shared" si="5"/>
        <v>-1</v>
      </c>
      <c r="L39" s="13" t="str">
        <f t="shared" si="6"/>
        <v/>
      </c>
      <c r="M39" s="13">
        <f t="shared" si="7"/>
        <v>0</v>
      </c>
      <c r="N39" s="14" t="s">
        <v>16</v>
      </c>
    </row>
    <row r="40" spans="1:14">
      <c r="A40" s="12">
        <v>3</v>
      </c>
      <c r="B40" s="13">
        <v>185</v>
      </c>
      <c r="C40" s="13">
        <v>48</v>
      </c>
      <c r="D40" s="13"/>
      <c r="E40" s="13">
        <v>49</v>
      </c>
      <c r="F40" s="13">
        <v>48</v>
      </c>
      <c r="G40" s="13">
        <v>49</v>
      </c>
      <c r="H40" s="13">
        <v>1</v>
      </c>
      <c r="I40" s="13">
        <v>49</v>
      </c>
      <c r="J40" s="13">
        <f t="shared" si="4"/>
        <v>1885.7409903172734</v>
      </c>
      <c r="K40" s="13">
        <f t="shared" si="5"/>
        <v>-1</v>
      </c>
      <c r="L40" s="13" t="str">
        <f t="shared" si="6"/>
        <v/>
      </c>
      <c r="M40" s="13">
        <f t="shared" si="7"/>
        <v>0</v>
      </c>
      <c r="N40" s="14" t="s">
        <v>16</v>
      </c>
    </row>
    <row r="41" spans="1:14">
      <c r="A41" s="12">
        <v>3</v>
      </c>
      <c r="B41" s="13">
        <v>240</v>
      </c>
      <c r="C41" s="13">
        <v>54</v>
      </c>
      <c r="D41" s="13"/>
      <c r="E41" s="13">
        <v>55</v>
      </c>
      <c r="F41" s="13">
        <v>54</v>
      </c>
      <c r="G41" s="13">
        <v>55</v>
      </c>
      <c r="H41" s="13">
        <v>1</v>
      </c>
      <c r="I41" s="13">
        <v>55</v>
      </c>
      <c r="J41" s="13">
        <f t="shared" si="4"/>
        <v>2375.8294442772813</v>
      </c>
      <c r="K41" s="13">
        <f t="shared" si="5"/>
        <v>-1</v>
      </c>
      <c r="L41" s="13" t="str">
        <f t="shared" si="6"/>
        <v/>
      </c>
      <c r="M41" s="13">
        <f t="shared" si="7"/>
        <v>0</v>
      </c>
      <c r="N41" s="14" t="s">
        <v>16</v>
      </c>
    </row>
    <row r="42" spans="1:14">
      <c r="A42" s="12">
        <v>3</v>
      </c>
      <c r="B42" s="13">
        <v>300</v>
      </c>
      <c r="C42" s="13">
        <v>59</v>
      </c>
      <c r="D42" s="13"/>
      <c r="E42" s="13">
        <v>61</v>
      </c>
      <c r="F42" s="13">
        <v>59</v>
      </c>
      <c r="G42" s="13">
        <v>61</v>
      </c>
      <c r="H42" s="13">
        <v>2</v>
      </c>
      <c r="I42" s="13">
        <v>61</v>
      </c>
      <c r="J42" s="13">
        <f t="shared" si="4"/>
        <v>2922.466566001905</v>
      </c>
      <c r="K42" s="13">
        <f t="shared" si="5"/>
        <v>-2</v>
      </c>
      <c r="L42" s="13" t="str">
        <f t="shared" si="6"/>
        <v/>
      </c>
      <c r="M42" s="13">
        <f t="shared" si="7"/>
        <v>0</v>
      </c>
      <c r="N42" s="14" t="s">
        <v>16</v>
      </c>
    </row>
    <row r="43" spans="1:14">
      <c r="A43" s="12">
        <v>3</v>
      </c>
      <c r="B43" s="13">
        <v>400</v>
      </c>
      <c r="C43" s="13">
        <v>66</v>
      </c>
      <c r="D43" s="13"/>
      <c r="E43" s="13">
        <v>68</v>
      </c>
      <c r="F43" s="13">
        <v>66</v>
      </c>
      <c r="G43" s="13">
        <v>68</v>
      </c>
      <c r="H43" s="13">
        <v>2</v>
      </c>
      <c r="I43" s="13">
        <v>68</v>
      </c>
      <c r="J43" s="13">
        <f t="shared" si="4"/>
        <v>3631.6811075498008</v>
      </c>
      <c r="K43" s="13">
        <f t="shared" si="5"/>
        <v>-2</v>
      </c>
      <c r="L43" s="13" t="str">
        <f t="shared" si="6"/>
        <v/>
      </c>
      <c r="M43" s="13">
        <f t="shared" si="7"/>
        <v>0</v>
      </c>
      <c r="N43" s="14" t="s">
        <v>16</v>
      </c>
    </row>
    <row r="44" spans="1:14">
      <c r="A44" s="12">
        <v>4</v>
      </c>
      <c r="B44" s="13">
        <v>10</v>
      </c>
      <c r="C44" s="13">
        <v>18</v>
      </c>
      <c r="D44" s="13">
        <v>18</v>
      </c>
      <c r="E44" s="13">
        <v>17.5</v>
      </c>
      <c r="F44" s="13">
        <v>17.5</v>
      </c>
      <c r="G44" s="13">
        <v>18</v>
      </c>
      <c r="H44" s="13">
        <v>0.5</v>
      </c>
      <c r="I44" s="13">
        <v>18</v>
      </c>
      <c r="J44" s="13">
        <f t="shared" si="4"/>
        <v>254.46900494077323</v>
      </c>
      <c r="K44" s="13">
        <f t="shared" si="5"/>
        <v>0</v>
      </c>
      <c r="L44" s="13">
        <f t="shared" si="6"/>
        <v>0</v>
      </c>
      <c r="M44" s="13">
        <f t="shared" si="7"/>
        <v>-0.5</v>
      </c>
      <c r="N44" s="14"/>
    </row>
    <row r="45" spans="1:14">
      <c r="A45" s="12">
        <v>4</v>
      </c>
      <c r="B45" s="13">
        <v>16</v>
      </c>
      <c r="C45" s="13">
        <v>20</v>
      </c>
      <c r="D45" s="13">
        <v>20</v>
      </c>
      <c r="E45" s="13">
        <v>20</v>
      </c>
      <c r="F45" s="13">
        <v>20</v>
      </c>
      <c r="G45" s="13">
        <v>20</v>
      </c>
      <c r="H45" s="13">
        <v>0</v>
      </c>
      <c r="I45" s="13">
        <v>20</v>
      </c>
      <c r="J45" s="13">
        <f t="shared" si="4"/>
        <v>314.15926535897933</v>
      </c>
      <c r="K45" s="13">
        <f t="shared" si="5"/>
        <v>0</v>
      </c>
      <c r="L45" s="13">
        <f t="shared" si="6"/>
        <v>0</v>
      </c>
      <c r="M45" s="13">
        <f t="shared" si="7"/>
        <v>0</v>
      </c>
      <c r="N45" s="14"/>
    </row>
    <row r="46" spans="1:14">
      <c r="A46" s="12">
        <v>4</v>
      </c>
      <c r="B46" s="13">
        <v>25</v>
      </c>
      <c r="C46" s="13">
        <v>24</v>
      </c>
      <c r="D46" s="13">
        <v>24</v>
      </c>
      <c r="E46" s="13">
        <v>24</v>
      </c>
      <c r="F46" s="13">
        <v>24</v>
      </c>
      <c r="G46" s="13">
        <v>24</v>
      </c>
      <c r="H46" s="13">
        <v>0</v>
      </c>
      <c r="I46" s="13">
        <v>24</v>
      </c>
      <c r="J46" s="13">
        <f t="shared" si="4"/>
        <v>452.38934211693021</v>
      </c>
      <c r="K46" s="13">
        <f t="shared" si="5"/>
        <v>0</v>
      </c>
      <c r="L46" s="13">
        <f t="shared" si="6"/>
        <v>0</v>
      </c>
      <c r="M46" s="13">
        <f t="shared" si="7"/>
        <v>0</v>
      </c>
      <c r="N46" s="14"/>
    </row>
    <row r="47" spans="1:14">
      <c r="A47" s="12">
        <v>4</v>
      </c>
      <c r="B47" s="13">
        <v>35</v>
      </c>
      <c r="C47" s="13">
        <v>27</v>
      </c>
      <c r="D47" s="13">
        <v>27</v>
      </c>
      <c r="E47" s="13">
        <v>27</v>
      </c>
      <c r="F47" s="13">
        <v>27</v>
      </c>
      <c r="G47" s="13">
        <v>27</v>
      </c>
      <c r="H47" s="13">
        <v>0</v>
      </c>
      <c r="I47" s="13">
        <v>27</v>
      </c>
      <c r="J47" s="13">
        <f t="shared" si="4"/>
        <v>572.55526111673976</v>
      </c>
      <c r="K47" s="13">
        <f t="shared" si="5"/>
        <v>0</v>
      </c>
      <c r="L47" s="13">
        <f t="shared" si="6"/>
        <v>0</v>
      </c>
      <c r="M47" s="13">
        <f t="shared" si="7"/>
        <v>0</v>
      </c>
      <c r="N47" s="14"/>
    </row>
    <row r="48" spans="1:14">
      <c r="A48" s="12">
        <v>4</v>
      </c>
      <c r="B48" s="13">
        <v>50</v>
      </c>
      <c r="C48" s="13">
        <v>30</v>
      </c>
      <c r="D48" s="13">
        <v>30</v>
      </c>
      <c r="E48" s="13">
        <v>30</v>
      </c>
      <c r="F48" s="13">
        <v>30</v>
      </c>
      <c r="G48" s="13">
        <v>30</v>
      </c>
      <c r="H48" s="13">
        <v>0</v>
      </c>
      <c r="I48" s="13">
        <v>30</v>
      </c>
      <c r="J48" s="13">
        <f t="shared" si="4"/>
        <v>706.85834705770344</v>
      </c>
      <c r="K48" s="13">
        <f t="shared" si="5"/>
        <v>0</v>
      </c>
      <c r="L48" s="13">
        <f t="shared" si="6"/>
        <v>0</v>
      </c>
      <c r="M48" s="13">
        <f t="shared" si="7"/>
        <v>0</v>
      </c>
      <c r="N48" s="14"/>
    </row>
    <row r="49" spans="1:14">
      <c r="A49" s="12">
        <v>4</v>
      </c>
      <c r="B49" s="13">
        <v>70</v>
      </c>
      <c r="C49" s="13">
        <v>35</v>
      </c>
      <c r="D49" s="13">
        <v>35</v>
      </c>
      <c r="E49" s="13">
        <v>35</v>
      </c>
      <c r="F49" s="13">
        <v>35</v>
      </c>
      <c r="G49" s="13">
        <v>35</v>
      </c>
      <c r="H49" s="13">
        <v>0</v>
      </c>
      <c r="I49" s="13">
        <v>35</v>
      </c>
      <c r="J49" s="13">
        <f t="shared" si="4"/>
        <v>962.11275016187415</v>
      </c>
      <c r="K49" s="13">
        <f t="shared" si="5"/>
        <v>0</v>
      </c>
      <c r="L49" s="13">
        <f t="shared" si="6"/>
        <v>0</v>
      </c>
      <c r="M49" s="13">
        <f t="shared" si="7"/>
        <v>0</v>
      </c>
      <c r="N49" s="14"/>
    </row>
    <row r="50" spans="1:14">
      <c r="A50" s="12">
        <v>4</v>
      </c>
      <c r="B50" s="13">
        <v>95</v>
      </c>
      <c r="C50" s="13">
        <v>39</v>
      </c>
      <c r="D50" s="13"/>
      <c r="E50" s="13">
        <v>39</v>
      </c>
      <c r="F50" s="13">
        <v>39</v>
      </c>
      <c r="G50" s="13">
        <v>39</v>
      </c>
      <c r="H50" s="13">
        <v>0</v>
      </c>
      <c r="I50" s="13">
        <v>39</v>
      </c>
      <c r="J50" s="13">
        <f t="shared" si="4"/>
        <v>1194.5906065275187</v>
      </c>
      <c r="K50" s="13">
        <f t="shared" si="5"/>
        <v>0</v>
      </c>
      <c r="L50" s="13" t="str">
        <f t="shared" si="6"/>
        <v/>
      </c>
      <c r="M50" s="13">
        <f t="shared" si="7"/>
        <v>0</v>
      </c>
      <c r="N50" s="14" t="s">
        <v>16</v>
      </c>
    </row>
    <row r="51" spans="1:14">
      <c r="A51" s="12">
        <v>4</v>
      </c>
      <c r="B51" s="13">
        <v>120</v>
      </c>
      <c r="C51" s="13">
        <v>43</v>
      </c>
      <c r="D51" s="13"/>
      <c r="E51" s="13">
        <v>44</v>
      </c>
      <c r="F51" s="13">
        <v>43</v>
      </c>
      <c r="G51" s="13">
        <v>44</v>
      </c>
      <c r="H51" s="13">
        <v>1</v>
      </c>
      <c r="I51" s="13">
        <v>44</v>
      </c>
      <c r="J51" s="13">
        <f t="shared" si="4"/>
        <v>1520.5308443374599</v>
      </c>
      <c r="K51" s="13">
        <f t="shared" si="5"/>
        <v>-1</v>
      </c>
      <c r="L51" s="13" t="str">
        <f t="shared" si="6"/>
        <v/>
      </c>
      <c r="M51" s="13">
        <f t="shared" si="7"/>
        <v>0</v>
      </c>
      <c r="N51" s="14" t="s">
        <v>16</v>
      </c>
    </row>
    <row r="52" spans="1:14">
      <c r="A52" s="12">
        <v>4</v>
      </c>
      <c r="B52" s="13">
        <v>150</v>
      </c>
      <c r="C52" s="13">
        <v>48</v>
      </c>
      <c r="D52" s="13"/>
      <c r="E52" s="13">
        <v>49</v>
      </c>
      <c r="F52" s="13">
        <v>48</v>
      </c>
      <c r="G52" s="13">
        <v>49</v>
      </c>
      <c r="H52" s="13">
        <v>1</v>
      </c>
      <c r="I52" s="13">
        <v>49</v>
      </c>
      <c r="J52" s="13">
        <f t="shared" si="4"/>
        <v>1885.7409903172734</v>
      </c>
      <c r="K52" s="13">
        <f t="shared" si="5"/>
        <v>-1</v>
      </c>
      <c r="L52" s="13" t="str">
        <f t="shared" si="6"/>
        <v/>
      </c>
      <c r="M52" s="13">
        <f t="shared" si="7"/>
        <v>0</v>
      </c>
      <c r="N52" s="14" t="s">
        <v>16</v>
      </c>
    </row>
    <row r="53" spans="1:14">
      <c r="A53" s="12">
        <v>4</v>
      </c>
      <c r="B53" s="13">
        <v>185</v>
      </c>
      <c r="C53" s="13">
        <v>53</v>
      </c>
      <c r="D53" s="13"/>
      <c r="E53" s="13">
        <v>54</v>
      </c>
      <c r="F53" s="13">
        <v>53</v>
      </c>
      <c r="G53" s="13">
        <v>54</v>
      </c>
      <c r="H53" s="13">
        <v>1</v>
      </c>
      <c r="I53" s="13">
        <v>54</v>
      </c>
      <c r="J53" s="13">
        <f t="shared" si="4"/>
        <v>2290.221044466959</v>
      </c>
      <c r="K53" s="13">
        <f t="shared" si="5"/>
        <v>-1</v>
      </c>
      <c r="L53" s="13" t="str">
        <f t="shared" si="6"/>
        <v/>
      </c>
      <c r="M53" s="13">
        <f t="shared" si="7"/>
        <v>0</v>
      </c>
      <c r="N53" s="14" t="s">
        <v>16</v>
      </c>
    </row>
    <row r="54" spans="1:14">
      <c r="A54" s="12">
        <v>4</v>
      </c>
      <c r="B54" s="13">
        <v>240</v>
      </c>
      <c r="C54" s="13">
        <v>60</v>
      </c>
      <c r="D54" s="13"/>
      <c r="E54" s="13">
        <v>61</v>
      </c>
      <c r="F54" s="13">
        <v>60</v>
      </c>
      <c r="G54" s="13">
        <v>61</v>
      </c>
      <c r="H54" s="13">
        <v>1</v>
      </c>
      <c r="I54" s="13">
        <v>61</v>
      </c>
      <c r="J54" s="13">
        <f t="shared" si="4"/>
        <v>2922.466566001905</v>
      </c>
      <c r="K54" s="13">
        <f t="shared" si="5"/>
        <v>-1</v>
      </c>
      <c r="L54" s="13" t="str">
        <f t="shared" si="6"/>
        <v/>
      </c>
      <c r="M54" s="13">
        <f t="shared" si="7"/>
        <v>0</v>
      </c>
      <c r="N54" s="14" t="s">
        <v>16</v>
      </c>
    </row>
    <row r="55" spans="1:14">
      <c r="A55" s="12">
        <v>4</v>
      </c>
      <c r="B55" s="13">
        <v>300</v>
      </c>
      <c r="C55" s="13">
        <v>66</v>
      </c>
      <c r="D55" s="13"/>
      <c r="E55" s="13">
        <v>68</v>
      </c>
      <c r="F55" s="13">
        <v>66</v>
      </c>
      <c r="G55" s="13">
        <v>68</v>
      </c>
      <c r="H55" s="13">
        <v>2</v>
      </c>
      <c r="I55" s="13">
        <v>68</v>
      </c>
      <c r="J55" s="13">
        <f t="shared" si="4"/>
        <v>3631.6811075498008</v>
      </c>
      <c r="K55" s="13">
        <f t="shared" si="5"/>
        <v>-2</v>
      </c>
      <c r="L55" s="13" t="str">
        <f t="shared" si="6"/>
        <v/>
      </c>
      <c r="M55" s="13">
        <f t="shared" si="7"/>
        <v>0</v>
      </c>
      <c r="N55" s="14" t="s">
        <v>16</v>
      </c>
    </row>
    <row r="56" spans="1:14">
      <c r="A56" s="12">
        <v>4</v>
      </c>
      <c r="B56" s="13">
        <v>400</v>
      </c>
      <c r="C56" s="13">
        <v>74</v>
      </c>
      <c r="D56" s="13"/>
      <c r="E56" s="13">
        <v>76</v>
      </c>
      <c r="F56" s="13">
        <v>74</v>
      </c>
      <c r="G56" s="13">
        <v>76</v>
      </c>
      <c r="H56" s="13">
        <v>2</v>
      </c>
      <c r="I56" s="13">
        <v>76</v>
      </c>
      <c r="J56" s="13">
        <f t="shared" si="4"/>
        <v>4536.4597917836609</v>
      </c>
      <c r="K56" s="13">
        <f t="shared" si="5"/>
        <v>-2</v>
      </c>
      <c r="L56" s="13" t="str">
        <f t="shared" si="6"/>
        <v/>
      </c>
      <c r="M56" s="13">
        <f t="shared" si="7"/>
        <v>0</v>
      </c>
      <c r="N56" s="14" t="s">
        <v>16</v>
      </c>
    </row>
  </sheetData>
  <mergeCells count="2">
    <mergeCell ref="A1:N1"/>
    <mergeCell ref="A2:N2"/>
  </mergeCells>
  <conditionalFormatting sqref="F5:I56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K5:M56">
    <cfRule type="expression" dxfId="5" priority="3">
      <formula>K5&lt;0</formula>
    </cfRule>
  </conditionalFormatting>
  <conditionalFormatting sqref="K5:K56">
    <cfRule type="cellIs" dxfId="3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G1"/>
    </sheetView>
  </sheetViews>
  <sheetFormatPr defaultRowHeight="14.25"/>
  <cols>
    <col min="1" max="1" width="19" customWidth="1"/>
    <col min="2" max="2" width="24" customWidth="1"/>
    <col min="3" max="3" width="9" customWidth="1"/>
    <col min="4" max="4" width="24" customWidth="1"/>
    <col min="5" max="5" width="20" customWidth="1"/>
    <col min="6" max="6" width="45" customWidth="1"/>
    <col min="7" max="7" width="52" customWidth="1"/>
  </cols>
  <sheetData>
    <row r="1" spans="1:7" ht="20.25">
      <c r="A1" s="8" t="s">
        <v>17</v>
      </c>
      <c r="B1" s="8"/>
      <c r="C1" s="8"/>
      <c r="D1" s="8"/>
      <c r="E1" s="8"/>
      <c r="F1" s="8"/>
      <c r="G1" s="8"/>
    </row>
    <row r="3" spans="1:7" ht="15">
      <c r="A3" s="1" t="s">
        <v>18</v>
      </c>
      <c r="B3" s="1" t="s">
        <v>19</v>
      </c>
      <c r="C3" s="1" t="s">
        <v>2</v>
      </c>
      <c r="D3" s="1" t="s">
        <v>20</v>
      </c>
      <c r="E3" s="1" t="s">
        <v>21</v>
      </c>
      <c r="F3" s="1" t="s">
        <v>22</v>
      </c>
      <c r="G3" s="1" t="s">
        <v>23</v>
      </c>
    </row>
    <row r="4" spans="1:7" ht="42.75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</row>
    <row r="5" spans="1:7" ht="42.75">
      <c r="A5" s="4" t="s">
        <v>31</v>
      </c>
      <c r="B5" s="4" t="s">
        <v>32</v>
      </c>
      <c r="C5" s="4" t="s">
        <v>26</v>
      </c>
      <c r="D5" s="4" t="s">
        <v>33</v>
      </c>
      <c r="E5" s="4" t="s">
        <v>34</v>
      </c>
      <c r="F5" s="4" t="s">
        <v>35</v>
      </c>
      <c r="G5" s="4" t="s">
        <v>36</v>
      </c>
    </row>
    <row r="6" spans="1:7" ht="28.5">
      <c r="A6" s="4" t="s">
        <v>37</v>
      </c>
      <c r="B6" s="4" t="s">
        <v>38</v>
      </c>
      <c r="C6" s="4" t="s">
        <v>26</v>
      </c>
      <c r="D6" s="4" t="s">
        <v>39</v>
      </c>
      <c r="E6" s="4" t="s">
        <v>40</v>
      </c>
      <c r="F6" s="4" t="s">
        <v>41</v>
      </c>
      <c r="G6" s="4" t="s">
        <v>42</v>
      </c>
    </row>
    <row r="7" spans="1:7" ht="28.5">
      <c r="A7" s="4" t="s">
        <v>43</v>
      </c>
      <c r="B7" s="4" t="s">
        <v>44</v>
      </c>
      <c r="C7" s="4" t="s">
        <v>26</v>
      </c>
      <c r="D7" s="4" t="s">
        <v>45</v>
      </c>
      <c r="E7" s="4" t="s">
        <v>46</v>
      </c>
      <c r="F7" s="4" t="s">
        <v>47</v>
      </c>
      <c r="G7" s="4" t="s">
        <v>48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sqref="A1:E1"/>
    </sheetView>
  </sheetViews>
  <sheetFormatPr defaultRowHeight="14.25"/>
  <cols>
    <col min="1" max="1" width="20" customWidth="1"/>
    <col min="2" max="2" width="30" customWidth="1"/>
    <col min="3" max="3" width="22" customWidth="1"/>
    <col min="4" max="4" width="32" customWidth="1"/>
    <col min="5" max="5" width="55" customWidth="1"/>
  </cols>
  <sheetData>
    <row r="1" spans="1:5" ht="20.25">
      <c r="A1" s="8" t="s">
        <v>49</v>
      </c>
      <c r="B1" s="8"/>
      <c r="C1" s="8"/>
      <c r="D1" s="8"/>
      <c r="E1" s="8"/>
    </row>
    <row r="3" spans="1:5" ht="15">
      <c r="A3" s="1" t="s">
        <v>18</v>
      </c>
      <c r="B3" s="1" t="s">
        <v>50</v>
      </c>
      <c r="C3" s="1" t="s">
        <v>51</v>
      </c>
      <c r="D3" s="1" t="s">
        <v>52</v>
      </c>
      <c r="E3" s="1" t="s">
        <v>53</v>
      </c>
    </row>
    <row r="4" spans="1:5" ht="28.5">
      <c r="A4" s="4" t="s">
        <v>24</v>
      </c>
      <c r="B4" s="4" t="s">
        <v>54</v>
      </c>
      <c r="C4" s="4" t="s">
        <v>55</v>
      </c>
      <c r="D4" s="4" t="s">
        <v>56</v>
      </c>
      <c r="E4" s="4" t="s">
        <v>30</v>
      </c>
    </row>
    <row r="5" spans="1:5" ht="42.75">
      <c r="A5" s="4" t="s">
        <v>31</v>
      </c>
      <c r="B5" s="4" t="s">
        <v>57</v>
      </c>
      <c r="C5" s="4" t="s">
        <v>58</v>
      </c>
      <c r="D5" s="4" t="s">
        <v>59</v>
      </c>
      <c r="E5" s="4" t="s">
        <v>36</v>
      </c>
    </row>
    <row r="6" spans="1:5" ht="28.5">
      <c r="A6" s="4" t="s">
        <v>37</v>
      </c>
      <c r="B6" s="4" t="s">
        <v>60</v>
      </c>
      <c r="C6" s="4" t="s">
        <v>61</v>
      </c>
      <c r="D6" s="4" t="s">
        <v>62</v>
      </c>
      <c r="E6" s="4" t="s">
        <v>42</v>
      </c>
    </row>
    <row r="7" spans="1:5" ht="28.5">
      <c r="A7" s="4" t="s">
        <v>43</v>
      </c>
      <c r="B7" s="4" t="s">
        <v>63</v>
      </c>
      <c r="C7" s="4" t="s">
        <v>64</v>
      </c>
      <c r="D7" s="4" t="s">
        <v>65</v>
      </c>
      <c r="E7" s="4" t="s">
        <v>48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M32"/>
  <sheetViews>
    <sheetView tabSelected="1" workbookViewId="0">
      <selection activeCell="F21" sqref="F21"/>
    </sheetView>
  </sheetViews>
  <sheetFormatPr defaultRowHeight="14.25"/>
  <cols>
    <col min="1" max="1" width="25" customWidth="1"/>
    <col min="2" max="2" width="29" customWidth="1"/>
    <col min="3" max="5" width="11" customWidth="1"/>
    <col min="6" max="6" width="13" customWidth="1"/>
    <col min="7" max="7" width="16" customWidth="1"/>
    <col min="8" max="8" width="14" customWidth="1"/>
    <col min="9" max="9" width="40" customWidth="1"/>
    <col min="10" max="10" width="54" customWidth="1"/>
    <col min="11" max="12" width="13" customWidth="1"/>
    <col min="13" max="13" width="14" customWidth="1"/>
  </cols>
  <sheetData>
    <row r="1" spans="1:13" ht="19.149999999999999" customHeight="1">
      <c r="A1" s="10" t="s">
        <v>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66" customHeight="1">
      <c r="A2" s="11" t="s">
        <v>67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>
      <c r="F3" s="26"/>
    </row>
    <row r="4" spans="1:13" ht="26.45" customHeight="1">
      <c r="A4" s="7" t="s">
        <v>68</v>
      </c>
      <c r="B4" s="7" t="s">
        <v>69</v>
      </c>
      <c r="C4" s="7" t="s">
        <v>3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  <c r="I4" s="7" t="s">
        <v>75</v>
      </c>
      <c r="J4" s="7" t="s">
        <v>23</v>
      </c>
      <c r="K4" s="7" t="s">
        <v>76</v>
      </c>
      <c r="L4" s="7" t="s">
        <v>77</v>
      </c>
      <c r="M4" s="7" t="s">
        <v>78</v>
      </c>
    </row>
    <row r="5" spans="1:13" ht="26.45" customHeight="1">
      <c r="A5" s="21" t="s">
        <v>24</v>
      </c>
      <c r="B5" s="19" t="s">
        <v>79</v>
      </c>
      <c r="C5" s="20">
        <v>4</v>
      </c>
      <c r="D5" s="20">
        <v>5.5</v>
      </c>
      <c r="E5" s="18">
        <v>6</v>
      </c>
      <c r="F5" s="20">
        <v>6</v>
      </c>
      <c r="G5" s="20">
        <f t="shared" ref="G5:G24" si="0">IF(F5="","",PI()*F5^2/4)</f>
        <v>28.274333882308138</v>
      </c>
      <c r="H5" s="19" t="s">
        <v>80</v>
      </c>
      <c r="I5" s="6" t="s">
        <v>81</v>
      </c>
      <c r="J5" s="6" t="s">
        <v>82</v>
      </c>
      <c r="K5" s="5" t="str">
        <f ca="1">IFERROR(_xludf.MINIFS($D$5:$D$24,$C$5:$C$24,C5,$D$5:$D$24,"&gt;0"),"")</f>
        <v/>
      </c>
      <c r="L5" s="5" t="str">
        <f ca="1">IFERROR(_xludf.MAXIFS($E$5:$E$24,$C$5:$C$24,C5),"")</f>
        <v/>
      </c>
      <c r="M5" s="5" t="str">
        <f t="shared" ref="M5:M24" ca="1" si="1">IF(OR(K5="",L5=""),"",L5-K5)</f>
        <v/>
      </c>
    </row>
    <row r="6" spans="1:13" ht="26.45" customHeight="1">
      <c r="A6" s="21" t="s">
        <v>24</v>
      </c>
      <c r="B6" s="19" t="s">
        <v>79</v>
      </c>
      <c r="C6" s="20">
        <v>6</v>
      </c>
      <c r="D6" s="20">
        <v>6</v>
      </c>
      <c r="E6" s="18">
        <v>6.5</v>
      </c>
      <c r="F6" s="20">
        <v>6.5</v>
      </c>
      <c r="G6" s="20">
        <f t="shared" si="0"/>
        <v>33.183072403542191</v>
      </c>
      <c r="H6" s="19" t="s">
        <v>80</v>
      </c>
      <c r="I6" s="6" t="s">
        <v>81</v>
      </c>
      <c r="J6" s="6" t="s">
        <v>82</v>
      </c>
      <c r="K6" s="5" t="str">
        <f ca="1">IFERROR(_xludf.MINIFS($D$5:$D$24,$C$5:$C$24,C6,$D$5:$D$24,"&gt;0"),"")</f>
        <v/>
      </c>
      <c r="L6" s="5" t="str">
        <f ca="1">IFERROR(_xludf.MAXIFS($E$5:$E$24,$C$5:$C$24,C6),"")</f>
        <v/>
      </c>
      <c r="M6" s="5" t="str">
        <f t="shared" ca="1" si="1"/>
        <v/>
      </c>
    </row>
    <row r="7" spans="1:13" ht="26.45" customHeight="1">
      <c r="A7" s="21" t="s">
        <v>24</v>
      </c>
      <c r="B7" s="19" t="s">
        <v>79</v>
      </c>
      <c r="C7" s="20">
        <v>10</v>
      </c>
      <c r="D7" s="20">
        <v>7.7</v>
      </c>
      <c r="E7" s="18">
        <v>8.1999999999999993</v>
      </c>
      <c r="F7" s="20">
        <v>8.1999999999999993</v>
      </c>
      <c r="G7" s="20">
        <f t="shared" si="0"/>
        <v>52.810172506844417</v>
      </c>
      <c r="H7" s="19" t="s">
        <v>80</v>
      </c>
      <c r="I7" s="6" t="s">
        <v>81</v>
      </c>
      <c r="J7" s="6" t="s">
        <v>82</v>
      </c>
      <c r="K7" s="5" t="str">
        <f ca="1">IFERROR(_xludf.MINIFS($D$5:$D$24,$C$5:$C$24,C7,$D$5:$D$24,"&gt;0"),"")</f>
        <v/>
      </c>
      <c r="L7" s="5" t="str">
        <f ca="1">IFERROR(_xludf.MAXIFS($E$5:$E$24,$C$5:$C$24,C7),"")</f>
        <v/>
      </c>
      <c r="M7" s="5" t="str">
        <f t="shared" ca="1" si="1"/>
        <v/>
      </c>
    </row>
    <row r="8" spans="1:13" ht="26.45" customHeight="1">
      <c r="A8" s="21" t="s">
        <v>24</v>
      </c>
      <c r="B8" s="19" t="s">
        <v>79</v>
      </c>
      <c r="C8" s="20">
        <v>16</v>
      </c>
      <c r="D8" s="20">
        <v>8.9</v>
      </c>
      <c r="E8" s="18">
        <v>9.8000000000000007</v>
      </c>
      <c r="F8" s="20">
        <v>9.8000000000000007</v>
      </c>
      <c r="G8" s="20">
        <f t="shared" si="0"/>
        <v>75.429639612690949</v>
      </c>
      <c r="H8" s="19" t="s">
        <v>80</v>
      </c>
      <c r="I8" s="6" t="s">
        <v>81</v>
      </c>
      <c r="J8" s="6" t="s">
        <v>82</v>
      </c>
      <c r="K8" s="5" t="str">
        <f ca="1">IFERROR(_xludf.MINIFS($D$5:$D$24,$C$5:$C$24,C8,$D$5:$D$24,"&gt;0"),"")</f>
        <v/>
      </c>
      <c r="L8" s="5" t="str">
        <f ca="1">IFERROR(_xludf.MAXIFS($E$5:$E$24,$C$5:$C$24,C8),"")</f>
        <v/>
      </c>
      <c r="M8" s="5" t="str">
        <f t="shared" ca="1" si="1"/>
        <v/>
      </c>
    </row>
    <row r="9" spans="1:13" ht="26.45" customHeight="1">
      <c r="A9" s="22" t="s">
        <v>83</v>
      </c>
      <c r="B9" s="19" t="s">
        <v>84</v>
      </c>
      <c r="C9" s="20">
        <v>4</v>
      </c>
      <c r="D9" s="20">
        <v>5.2</v>
      </c>
      <c r="E9" s="18">
        <v>5.9</v>
      </c>
      <c r="F9" s="20">
        <v>5.9</v>
      </c>
      <c r="G9" s="20">
        <f t="shared" si="0"/>
        <v>27.339710067865177</v>
      </c>
      <c r="H9" s="19" t="s">
        <v>80</v>
      </c>
      <c r="I9" s="6" t="s">
        <v>85</v>
      </c>
      <c r="J9" s="6" t="s">
        <v>86</v>
      </c>
      <c r="K9" s="5" t="str">
        <f ca="1">IFERROR(_xludf.MINIFS($D$5:$D$24,$C$5:$C$24,C9,$D$5:$D$24,"&gt;0"),"")</f>
        <v/>
      </c>
      <c r="L9" s="5" t="str">
        <f ca="1">IFERROR(_xludf.MAXIFS($E$5:$E$24,$C$5:$C$24,C9),"")</f>
        <v/>
      </c>
      <c r="M9" s="5" t="str">
        <f t="shared" ca="1" si="1"/>
        <v/>
      </c>
    </row>
    <row r="10" spans="1:13" ht="26.45" customHeight="1">
      <c r="A10" s="22" t="s">
        <v>83</v>
      </c>
      <c r="B10" s="19" t="s">
        <v>84</v>
      </c>
      <c r="C10" s="20">
        <v>6</v>
      </c>
      <c r="D10" s="20">
        <v>5.8</v>
      </c>
      <c r="E10" s="18">
        <v>6.4</v>
      </c>
      <c r="F10" s="20">
        <v>6.4</v>
      </c>
      <c r="G10" s="20">
        <f t="shared" si="0"/>
        <v>32.169908772759484</v>
      </c>
      <c r="H10" s="19" t="s">
        <v>80</v>
      </c>
      <c r="I10" s="6" t="s">
        <v>85</v>
      </c>
      <c r="J10" s="6" t="s">
        <v>86</v>
      </c>
      <c r="K10" s="5" t="str">
        <f ca="1">IFERROR(_xludf.MINIFS($D$5:$D$24,$C$5:$C$24,C10,$D$5:$D$24,"&gt;0"),"")</f>
        <v/>
      </c>
      <c r="L10" s="5" t="str">
        <f ca="1">IFERROR(_xludf.MAXIFS($E$5:$E$24,$C$5:$C$24,C10),"")</f>
        <v/>
      </c>
      <c r="M10" s="5" t="str">
        <f t="shared" ca="1" si="1"/>
        <v/>
      </c>
    </row>
    <row r="11" spans="1:13" ht="26.45" customHeight="1">
      <c r="A11" s="22" t="s">
        <v>83</v>
      </c>
      <c r="B11" s="19" t="s">
        <v>84</v>
      </c>
      <c r="C11" s="20">
        <v>10</v>
      </c>
      <c r="D11" s="20">
        <v>6.9</v>
      </c>
      <c r="E11" s="18">
        <v>7.7</v>
      </c>
      <c r="F11" s="20">
        <v>7.7</v>
      </c>
      <c r="G11" s="20">
        <f t="shared" si="0"/>
        <v>46.566257107834716</v>
      </c>
      <c r="H11" s="19" t="s">
        <v>80</v>
      </c>
      <c r="I11" s="6" t="s">
        <v>85</v>
      </c>
      <c r="J11" s="6" t="s">
        <v>86</v>
      </c>
      <c r="K11" s="5" t="str">
        <f ca="1">IFERROR(_xludf.MINIFS($D$5:$D$24,$C$5:$C$24,C11,$D$5:$D$24,"&gt;0"),"")</f>
        <v/>
      </c>
      <c r="L11" s="5" t="str">
        <f ca="1">IFERROR(_xludf.MAXIFS($E$5:$E$24,$C$5:$C$24,C11),"")</f>
        <v/>
      </c>
      <c r="M11" s="5" t="str">
        <f t="shared" ca="1" si="1"/>
        <v/>
      </c>
    </row>
    <row r="12" spans="1:13" ht="26.45" customHeight="1">
      <c r="A12" s="22" t="s">
        <v>83</v>
      </c>
      <c r="B12" s="19" t="s">
        <v>84</v>
      </c>
      <c r="C12" s="20">
        <v>16</v>
      </c>
      <c r="D12" s="20">
        <v>7.7</v>
      </c>
      <c r="E12" s="18">
        <v>8.5</v>
      </c>
      <c r="F12" s="20">
        <v>8.5</v>
      </c>
      <c r="G12" s="20">
        <f t="shared" si="0"/>
        <v>56.745017305465637</v>
      </c>
      <c r="H12" s="19" t="s">
        <v>80</v>
      </c>
      <c r="I12" s="6" t="s">
        <v>85</v>
      </c>
      <c r="J12" s="6" t="s">
        <v>86</v>
      </c>
      <c r="K12" s="5" t="str">
        <f ca="1">IFERROR(_xludf.MINIFS($D$5:$D$24,$C$5:$C$24,C12,$D$5:$D$24,"&gt;0"),"")</f>
        <v/>
      </c>
      <c r="L12" s="5" t="str">
        <f ca="1">IFERROR(_xludf.MAXIFS($E$5:$E$24,$C$5:$C$24,C12),"")</f>
        <v/>
      </c>
      <c r="M12" s="5" t="str">
        <f t="shared" ca="1" si="1"/>
        <v/>
      </c>
    </row>
    <row r="13" spans="1:13" ht="26.45" customHeight="1">
      <c r="A13" s="23" t="s">
        <v>87</v>
      </c>
      <c r="B13" s="19" t="s">
        <v>88</v>
      </c>
      <c r="C13" s="20">
        <v>4</v>
      </c>
      <c r="D13" s="20">
        <v>5.2</v>
      </c>
      <c r="E13" s="18">
        <v>6</v>
      </c>
      <c r="F13" s="20">
        <v>6</v>
      </c>
      <c r="G13" s="20">
        <f t="shared" si="0"/>
        <v>28.274333882308138</v>
      </c>
      <c r="H13" s="19" t="s">
        <v>80</v>
      </c>
      <c r="I13" s="6" t="s">
        <v>89</v>
      </c>
      <c r="J13" s="6" t="s">
        <v>90</v>
      </c>
      <c r="K13" s="5" t="str">
        <f ca="1">IFERROR(_xludf.MINIFS($D$5:$D$24,$C$5:$C$24,C13,$D$5:$D$24,"&gt;0"),"")</f>
        <v/>
      </c>
      <c r="L13" s="5" t="str">
        <f ca="1">IFERROR(_xludf.MAXIFS($E$5:$E$24,$C$5:$C$24,C13),"")</f>
        <v/>
      </c>
      <c r="M13" s="5" t="str">
        <f t="shared" ca="1" si="1"/>
        <v/>
      </c>
    </row>
    <row r="14" spans="1:13" ht="26.45" customHeight="1">
      <c r="A14" s="23" t="s">
        <v>87</v>
      </c>
      <c r="B14" s="19" t="s">
        <v>88</v>
      </c>
      <c r="C14" s="20">
        <v>6</v>
      </c>
      <c r="D14" s="20">
        <v>5.8</v>
      </c>
      <c r="E14" s="18">
        <v>6.6</v>
      </c>
      <c r="F14" s="20">
        <v>6.6</v>
      </c>
      <c r="G14" s="20">
        <f t="shared" si="0"/>
        <v>34.21194399759284</v>
      </c>
      <c r="H14" s="19" t="s">
        <v>80</v>
      </c>
      <c r="I14" s="6" t="s">
        <v>91</v>
      </c>
      <c r="J14" s="6" t="s">
        <v>90</v>
      </c>
      <c r="K14" s="5" t="str">
        <f ca="1">IFERROR(_xludf.MINIFS($D$5:$D$24,$C$5:$C$24,C14,$D$5:$D$24,"&gt;0"),"")</f>
        <v/>
      </c>
      <c r="L14" s="5" t="str">
        <f ca="1">IFERROR(_xludf.MAXIFS($E$5:$E$24,$C$5:$C$24,C14),"")</f>
        <v/>
      </c>
      <c r="M14" s="5" t="str">
        <f t="shared" ca="1" si="1"/>
        <v/>
      </c>
    </row>
    <row r="15" spans="1:13" ht="26.45" customHeight="1">
      <c r="A15" s="23" t="s">
        <v>87</v>
      </c>
      <c r="B15" s="19" t="s">
        <v>88</v>
      </c>
      <c r="C15" s="20">
        <v>10</v>
      </c>
      <c r="D15" s="20">
        <v>6.9</v>
      </c>
      <c r="E15" s="18">
        <v>7.7</v>
      </c>
      <c r="F15" s="20">
        <v>7.7</v>
      </c>
      <c r="G15" s="20">
        <f t="shared" si="0"/>
        <v>46.566257107834716</v>
      </c>
      <c r="H15" s="19" t="s">
        <v>80</v>
      </c>
      <c r="I15" s="6" t="s">
        <v>92</v>
      </c>
      <c r="J15" s="6" t="s">
        <v>90</v>
      </c>
      <c r="K15" s="5" t="str">
        <f ca="1">IFERROR(_xludf.MINIFS($D$5:$D$24,$C$5:$C$24,C15,$D$5:$D$24,"&gt;0"),"")</f>
        <v/>
      </c>
      <c r="L15" s="5" t="str">
        <f ca="1">IFERROR(_xludf.MAXIFS($E$5:$E$24,$C$5:$C$24,C15),"")</f>
        <v/>
      </c>
      <c r="M15" s="5" t="str">
        <f t="shared" ca="1" si="1"/>
        <v/>
      </c>
    </row>
    <row r="16" spans="1:13" ht="26.45" customHeight="1">
      <c r="A16" s="23" t="s">
        <v>87</v>
      </c>
      <c r="B16" s="19" t="s">
        <v>88</v>
      </c>
      <c r="C16" s="20">
        <v>16</v>
      </c>
      <c r="D16" s="20"/>
      <c r="E16" s="18"/>
      <c r="F16" s="20"/>
      <c r="G16" s="20" t="str">
        <f t="shared" si="0"/>
        <v/>
      </c>
      <c r="H16" s="19" t="s">
        <v>93</v>
      </c>
      <c r="I16" s="6" t="s">
        <v>94</v>
      </c>
      <c r="J16" s="6" t="s">
        <v>90</v>
      </c>
      <c r="K16" s="5" t="str">
        <f ca="1">IFERROR(_xludf.MINIFS($D$5:$D$24,$C$5:$C$24,C16,$D$5:$D$24,"&gt;0"),"")</f>
        <v/>
      </c>
      <c r="L16" s="5" t="str">
        <f ca="1">IFERROR(_xludf.MAXIFS($E$5:$E$24,$C$5:$C$24,C16),"")</f>
        <v/>
      </c>
      <c r="M16" s="5" t="str">
        <f t="shared" ca="1" si="1"/>
        <v/>
      </c>
    </row>
    <row r="17" spans="1:13" ht="15" customHeight="1">
      <c r="A17" s="24" t="s">
        <v>95</v>
      </c>
      <c r="B17" s="19" t="s">
        <v>96</v>
      </c>
      <c r="C17" s="20">
        <v>4</v>
      </c>
      <c r="D17" s="20"/>
      <c r="E17" s="18"/>
      <c r="F17" s="20"/>
      <c r="G17" s="20" t="str">
        <f t="shared" si="0"/>
        <v/>
      </c>
      <c r="H17" s="19" t="s">
        <v>93</v>
      </c>
      <c r="I17" s="6" t="s">
        <v>97</v>
      </c>
      <c r="J17" s="6" t="s">
        <v>98</v>
      </c>
      <c r="K17" s="5" t="str">
        <f ca="1">IFERROR(_xludf.MINIFS($D$5:$D$24,$C$5:$C$24,C17,$D$5:$D$24,"&gt;0"),"")</f>
        <v/>
      </c>
      <c r="L17" s="5" t="str">
        <f ca="1">IFERROR(_xludf.MAXIFS($E$5:$E$24,$C$5:$C$24,C17),"")</f>
        <v/>
      </c>
      <c r="M17" s="5" t="str">
        <f t="shared" ca="1" si="1"/>
        <v/>
      </c>
    </row>
    <row r="18" spans="1:13" ht="15" customHeight="1">
      <c r="A18" s="24" t="s">
        <v>95</v>
      </c>
      <c r="B18" s="19" t="s">
        <v>96</v>
      </c>
      <c r="C18" s="20">
        <v>6</v>
      </c>
      <c r="D18" s="20">
        <v>6.1</v>
      </c>
      <c r="E18" s="18">
        <v>6.1</v>
      </c>
      <c r="F18" s="20">
        <v>6.1</v>
      </c>
      <c r="G18" s="20">
        <f t="shared" si="0"/>
        <v>29.224665660019046</v>
      </c>
      <c r="H18" s="19" t="s">
        <v>99</v>
      </c>
      <c r="I18" s="6" t="s">
        <v>100</v>
      </c>
      <c r="J18" s="6" t="s">
        <v>101</v>
      </c>
      <c r="K18" s="5" t="str">
        <f ca="1">IFERROR(_xludf.MINIFS($D$5:$D$24,$C$5:$C$24,C18,$D$5:$D$24,"&gt;0"),"")</f>
        <v/>
      </c>
      <c r="L18" s="5" t="str">
        <f ca="1">IFERROR(_xludf.MAXIFS($E$5:$E$24,$C$5:$C$24,C18),"")</f>
        <v/>
      </c>
      <c r="M18" s="5" t="str">
        <f t="shared" ca="1" si="1"/>
        <v/>
      </c>
    </row>
    <row r="19" spans="1:13" ht="15" customHeight="1">
      <c r="A19" s="24" t="s">
        <v>95</v>
      </c>
      <c r="B19" s="19" t="s">
        <v>96</v>
      </c>
      <c r="C19" s="20">
        <v>10</v>
      </c>
      <c r="D19" s="20"/>
      <c r="E19" s="18"/>
      <c r="F19" s="20"/>
      <c r="G19" s="20" t="str">
        <f t="shared" si="0"/>
        <v/>
      </c>
      <c r="H19" s="19" t="s">
        <v>93</v>
      </c>
      <c r="I19" s="6" t="s">
        <v>102</v>
      </c>
      <c r="J19" s="6" t="s">
        <v>98</v>
      </c>
      <c r="K19" s="5" t="str">
        <f ca="1">IFERROR(_xludf.MINIFS($D$5:$D$24,$C$5:$C$24,C19,$D$5:$D$24,"&gt;0"),"")</f>
        <v/>
      </c>
      <c r="L19" s="5" t="str">
        <f ca="1">IFERROR(_xludf.MAXIFS($E$5:$E$24,$C$5:$C$24,C19),"")</f>
        <v/>
      </c>
      <c r="M19" s="5" t="str">
        <f t="shared" ca="1" si="1"/>
        <v/>
      </c>
    </row>
    <row r="20" spans="1:13" ht="15" customHeight="1">
      <c r="A20" s="24" t="s">
        <v>95</v>
      </c>
      <c r="B20" s="19" t="s">
        <v>96</v>
      </c>
      <c r="C20" s="20">
        <v>16</v>
      </c>
      <c r="D20" s="20"/>
      <c r="E20" s="18"/>
      <c r="F20" s="20"/>
      <c r="G20" s="20" t="str">
        <f t="shared" si="0"/>
        <v/>
      </c>
      <c r="H20" s="19" t="s">
        <v>93</v>
      </c>
      <c r="I20" s="6" t="s">
        <v>103</v>
      </c>
      <c r="J20" s="6" t="s">
        <v>98</v>
      </c>
      <c r="K20" s="5" t="str">
        <f ca="1">IFERROR(_xludf.MINIFS($D$5:$D$24,$C$5:$C$24,C20,$D$5:$D$24,"&gt;0"),"")</f>
        <v/>
      </c>
      <c r="L20" s="5" t="str">
        <f ca="1">IFERROR(_xludf.MAXIFS($E$5:$E$24,$C$5:$C$24,C20),"")</f>
        <v/>
      </c>
      <c r="M20" s="5" t="str">
        <f t="shared" ca="1" si="1"/>
        <v/>
      </c>
    </row>
    <row r="21" spans="1:13" ht="26.45" customHeight="1">
      <c r="A21" s="25" t="s">
        <v>104</v>
      </c>
      <c r="B21" s="19" t="s">
        <v>105</v>
      </c>
      <c r="C21" s="20">
        <v>4</v>
      </c>
      <c r="D21" s="20">
        <v>5.6</v>
      </c>
      <c r="E21" s="18">
        <v>5.6</v>
      </c>
      <c r="F21" s="20">
        <v>5.6</v>
      </c>
      <c r="G21" s="20">
        <f t="shared" si="0"/>
        <v>24.630086404143974</v>
      </c>
      <c r="H21" s="19" t="s">
        <v>99</v>
      </c>
      <c r="I21" s="6" t="s">
        <v>106</v>
      </c>
      <c r="J21" s="6" t="s">
        <v>107</v>
      </c>
      <c r="K21" s="5" t="str">
        <f ca="1">IFERROR(_xludf.MINIFS($D$5:$D$24,$C$5:$C$24,C21,$D$5:$D$24,"&gt;0"),"")</f>
        <v/>
      </c>
      <c r="L21" s="5" t="str">
        <f ca="1">IFERROR(_xludf.MAXIFS($E$5:$E$24,$C$5:$C$24,C21),"")</f>
        <v/>
      </c>
      <c r="M21" s="5" t="str">
        <f t="shared" ca="1" si="1"/>
        <v/>
      </c>
    </row>
    <row r="22" spans="1:13" ht="26.45" customHeight="1">
      <c r="A22" s="25" t="s">
        <v>104</v>
      </c>
      <c r="B22" s="19" t="s">
        <v>105</v>
      </c>
      <c r="C22" s="20">
        <v>6</v>
      </c>
      <c r="D22" s="20"/>
      <c r="E22" s="18"/>
      <c r="F22" s="20"/>
      <c r="G22" s="20" t="str">
        <f t="shared" si="0"/>
        <v/>
      </c>
      <c r="H22" s="19" t="s">
        <v>93</v>
      </c>
      <c r="I22" s="6" t="s">
        <v>108</v>
      </c>
      <c r="J22" s="6" t="s">
        <v>109</v>
      </c>
      <c r="K22" s="5" t="str">
        <f ca="1">IFERROR(_xludf.MINIFS($D$5:$D$24,$C$5:$C$24,C22,$D$5:$D$24,"&gt;0"),"")</f>
        <v/>
      </c>
      <c r="L22" s="5" t="str">
        <f ca="1">IFERROR(_xludf.MAXIFS($E$5:$E$24,$C$5:$C$24,C22),"")</f>
        <v/>
      </c>
      <c r="M22" s="5" t="str">
        <f t="shared" ca="1" si="1"/>
        <v/>
      </c>
    </row>
    <row r="23" spans="1:13" ht="26.45" customHeight="1">
      <c r="A23" s="25" t="s">
        <v>104</v>
      </c>
      <c r="B23" s="19" t="s">
        <v>105</v>
      </c>
      <c r="C23" s="20">
        <v>10</v>
      </c>
      <c r="D23" s="20">
        <v>7.4</v>
      </c>
      <c r="E23" s="18">
        <v>7.4</v>
      </c>
      <c r="F23" s="20">
        <v>7.4</v>
      </c>
      <c r="G23" s="20">
        <f t="shared" si="0"/>
        <v>43.008403427644275</v>
      </c>
      <c r="H23" s="19" t="s">
        <v>99</v>
      </c>
      <c r="I23" s="6" t="s">
        <v>106</v>
      </c>
      <c r="J23" s="6" t="s">
        <v>110</v>
      </c>
      <c r="K23" s="5" t="str">
        <f ca="1">IFERROR(_xludf.MINIFS($D$5:$D$24,$C$5:$C$24,C23,$D$5:$D$24,"&gt;0"),"")</f>
        <v/>
      </c>
      <c r="L23" s="5" t="str">
        <f ca="1">IFERROR(_xludf.MAXIFS($E$5:$E$24,$C$5:$C$24,C23),"")</f>
        <v/>
      </c>
      <c r="M23" s="5" t="str">
        <f t="shared" ca="1" si="1"/>
        <v/>
      </c>
    </row>
    <row r="24" spans="1:13" ht="26.45" customHeight="1">
      <c r="A24" s="25" t="s">
        <v>104</v>
      </c>
      <c r="B24" s="19" t="s">
        <v>105</v>
      </c>
      <c r="C24" s="20">
        <v>16</v>
      </c>
      <c r="D24" s="20">
        <v>8.5</v>
      </c>
      <c r="E24" s="18">
        <v>8.9</v>
      </c>
      <c r="F24" s="20">
        <v>8.9</v>
      </c>
      <c r="G24" s="20">
        <f t="shared" si="0"/>
        <v>62.211388522711886</v>
      </c>
      <c r="H24" s="19" t="s">
        <v>80</v>
      </c>
      <c r="I24" s="6" t="s">
        <v>111</v>
      </c>
      <c r="J24" s="6" t="s">
        <v>112</v>
      </c>
      <c r="K24" s="5" t="str">
        <f ca="1">IFERROR(_xludf.MINIFS($D$5:$D$24,$C$5:$C$24,C24,$D$5:$D$24,"&gt;0"),"")</f>
        <v/>
      </c>
      <c r="L24" s="5" t="str">
        <f ca="1">IFERROR(_xludf.MAXIFS($E$5:$E$24,$C$5:$C$24,C24),"")</f>
        <v/>
      </c>
      <c r="M24" s="5" t="str">
        <f t="shared" ca="1" si="1"/>
        <v/>
      </c>
    </row>
    <row r="27" spans="1:13" ht="19.149999999999999" customHeight="1">
      <c r="A27" s="10" t="s">
        <v>113</v>
      </c>
      <c r="B27" s="10"/>
      <c r="C27" s="10"/>
      <c r="D27" s="10"/>
      <c r="E27" s="10"/>
      <c r="F27" s="10"/>
    </row>
    <row r="28" spans="1:13" ht="39.6" customHeight="1">
      <c r="A28" s="7" t="s">
        <v>3</v>
      </c>
      <c r="B28" s="7" t="s">
        <v>114</v>
      </c>
      <c r="C28" s="7" t="s">
        <v>115</v>
      </c>
      <c r="D28" s="7" t="s">
        <v>116</v>
      </c>
      <c r="E28" s="7" t="s">
        <v>73</v>
      </c>
      <c r="F28" s="7" t="s">
        <v>117</v>
      </c>
    </row>
    <row r="29" spans="1:13" ht="15" customHeight="1">
      <c r="A29" s="3">
        <v>4</v>
      </c>
      <c r="B29" s="2">
        <v>5.2</v>
      </c>
      <c r="C29" s="2">
        <v>6</v>
      </c>
      <c r="D29" s="2">
        <v>6</v>
      </c>
      <c r="E29" s="2">
        <f>PI()*D29^2/4</f>
        <v>28.274333882308138</v>
      </c>
      <c r="F29" t="s">
        <v>118</v>
      </c>
    </row>
    <row r="30" spans="1:13" ht="15" customHeight="1">
      <c r="A30" s="3">
        <v>6</v>
      </c>
      <c r="B30" s="2">
        <v>5.8</v>
      </c>
      <c r="C30" s="2">
        <v>6.6</v>
      </c>
      <c r="D30" s="2">
        <v>6.6</v>
      </c>
      <c r="E30" s="2">
        <f>PI()*D30^2/4</f>
        <v>34.21194399759284</v>
      </c>
      <c r="F30" t="s">
        <v>119</v>
      </c>
    </row>
    <row r="31" spans="1:13" ht="15" customHeight="1">
      <c r="A31" s="3">
        <v>10</v>
      </c>
      <c r="B31" s="2">
        <v>6.9</v>
      </c>
      <c r="C31" s="2">
        <v>8.1999999999999993</v>
      </c>
      <c r="D31" s="2">
        <v>8.1999999999999993</v>
      </c>
      <c r="E31" s="2">
        <f>PI()*D31^2/4</f>
        <v>52.810172506844417</v>
      </c>
      <c r="F31" t="s">
        <v>24</v>
      </c>
    </row>
    <row r="32" spans="1:13" ht="15" customHeight="1">
      <c r="A32" s="3">
        <v>16</v>
      </c>
      <c r="B32" s="2">
        <v>7.7</v>
      </c>
      <c r="C32" s="2">
        <v>9.8000000000000007</v>
      </c>
      <c r="D32" s="2">
        <v>9.8000000000000007</v>
      </c>
      <c r="E32" s="2">
        <f>PI()*D32^2/4</f>
        <v>75.429639612690949</v>
      </c>
      <c r="F32" t="s">
        <v>24</v>
      </c>
    </row>
  </sheetData>
  <mergeCells count="3">
    <mergeCell ref="A1:M1"/>
    <mergeCell ref="A2:M2"/>
    <mergeCell ref="A27:F27"/>
  </mergeCells>
  <conditionalFormatting sqref="F5:F24">
    <cfRule type="dataBar" priority="1">
      <dataBar>
        <cfvo type="min"/>
        <cfvo type="max"/>
        <color rgb="FF8A3D74"/>
      </dataBar>
    </cfRule>
    <cfRule type="dataBar" priority="4">
      <dataBar>
        <cfvo type="min"/>
        <cfvo type="max"/>
        <color rgb="FF8A3D74"/>
      </dataBar>
      <extLst>
        <ext xmlns:x14="http://schemas.microsoft.com/office/spreadsheetml/2009/9/main" uri="{B025F937-C7B1-47D3-B67F-A62EFF666E3E}">
          <x14:id>{C107D487-456C-C3F2-38BD-E29B3B47C550}</x14:id>
        </ext>
      </extLst>
    </cfRule>
  </conditionalFormatting>
  <conditionalFormatting sqref="H5:H24">
    <cfRule type="expression" dxfId="26" priority="2">
      <formula>H5="ไม่มีข้อมูล"</formula>
    </cfRule>
  </conditionalFormatting>
  <conditionalFormatting sqref="M5:M24">
    <cfRule type="colorScale" priority="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7D487-456C-C3F2-38BD-E29B3B47C550}">
            <x14:dataBar>
              <x14:cfvo type="min"/>
              <x14:cfvo type="max"/>
              <x14:negativeFillColor auto="1"/>
              <x14:axisColor auto="1"/>
            </x14:dataBar>
          </x14:cfRule>
          <xm:sqref>F5:F24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C34" sqref="C34"/>
    </sheetView>
  </sheetViews>
  <sheetFormatPr defaultRowHeight="14.25"/>
  <cols>
    <col min="1" max="1" width="25" customWidth="1"/>
    <col min="2" max="2" width="42" customWidth="1"/>
    <col min="3" max="3" width="21" customWidth="1"/>
    <col min="4" max="4" width="38" customWidth="1"/>
    <col min="5" max="5" width="58" customWidth="1"/>
  </cols>
  <sheetData>
    <row r="1" spans="1:5" ht="19.149999999999999" customHeight="1">
      <c r="A1" s="10" t="s">
        <v>120</v>
      </c>
      <c r="B1" s="10"/>
      <c r="C1" s="10"/>
      <c r="D1" s="10"/>
      <c r="E1" s="10"/>
    </row>
    <row r="3" spans="1:5" ht="15" customHeight="1">
      <c r="A3" s="7" t="s">
        <v>68</v>
      </c>
      <c r="B3" s="7" t="s">
        <v>121</v>
      </c>
      <c r="C3" s="7" t="s">
        <v>122</v>
      </c>
      <c r="D3" s="7" t="s">
        <v>123</v>
      </c>
      <c r="E3" s="7" t="s">
        <v>23</v>
      </c>
    </row>
    <row r="4" spans="1:5" ht="28.5">
      <c r="A4" s="4" t="s">
        <v>24</v>
      </c>
      <c r="B4" s="4" t="s">
        <v>124</v>
      </c>
      <c r="C4" s="4" t="s">
        <v>125</v>
      </c>
      <c r="D4" s="4" t="s">
        <v>126</v>
      </c>
      <c r="E4" s="4" t="s">
        <v>82</v>
      </c>
    </row>
    <row r="5" spans="1:5" ht="42.75">
      <c r="A5" s="4" t="s">
        <v>83</v>
      </c>
      <c r="B5" s="4" t="s">
        <v>127</v>
      </c>
      <c r="C5" s="4" t="s">
        <v>125</v>
      </c>
      <c r="D5" s="4" t="s">
        <v>128</v>
      </c>
      <c r="E5" s="4" t="s">
        <v>86</v>
      </c>
    </row>
    <row r="6" spans="1:5" ht="28.5">
      <c r="A6" s="4" t="s">
        <v>87</v>
      </c>
      <c r="B6" s="4" t="s">
        <v>129</v>
      </c>
      <c r="C6" s="4" t="s">
        <v>130</v>
      </c>
      <c r="D6" s="4" t="s">
        <v>131</v>
      </c>
      <c r="E6" s="4" t="s">
        <v>90</v>
      </c>
    </row>
    <row r="7" spans="1:5">
      <c r="A7" s="4" t="s">
        <v>95</v>
      </c>
      <c r="B7" s="4" t="s">
        <v>132</v>
      </c>
      <c r="C7" s="4" t="s">
        <v>133</v>
      </c>
      <c r="D7" s="4" t="s">
        <v>99</v>
      </c>
      <c r="E7" s="4" t="s">
        <v>101</v>
      </c>
    </row>
    <row r="8" spans="1:5" ht="28.5">
      <c r="A8" s="4" t="s">
        <v>104</v>
      </c>
      <c r="B8" s="4" t="s">
        <v>134</v>
      </c>
      <c r="C8" s="4" t="s">
        <v>135</v>
      </c>
      <c r="D8" s="4" t="s">
        <v>136</v>
      </c>
      <c r="E8" s="4" t="s">
        <v>137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AC_OD_Comparison</vt:lpstr>
      <vt:lpstr>Brand_Summary</vt:lpstr>
      <vt:lpstr>Sources</vt:lpstr>
      <vt:lpstr>PV_DC_Comparison</vt:lpstr>
      <vt:lpstr>PV_DC_Sources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Itthiphan Sakunwanthanasak</cp:lastModifiedBy>
  <dcterms:modified xsi:type="dcterms:W3CDTF">2026-08-01T05:13:20Z</dcterms:modified>
</cp:coreProperties>
</file>