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pttor-my.sharepoint.com/personal/620116_pttor_com/Documents/PTTOR งานบิน วศ (อื่นๆ) 2569/__Solar_Rooftop_2029-Only/26.2.โรงแรมสิรินพลา จ.ระยอง/"/>
    </mc:Choice>
  </mc:AlternateContent>
  <xr:revisionPtr revIDLastSave="300" documentId="11_1DB161EBEE73ACD9781FBD3FC081814E7D740D96" xr6:coauthVersionLast="47" xr6:coauthVersionMax="47" xr10:uidLastSave="{DE3E22DF-3859-4C22-9C29-54E13A58DAD2}"/>
  <bookViews>
    <workbookView xWindow="28680" yWindow="-120" windowWidth="29040" windowHeight="15720" tabRatio="897" activeTab="6" xr2:uid="{00000000-000D-0000-FFFF-FFFF00000000}"/>
  </bookViews>
  <sheets>
    <sheet name="Read Me" sheetId="1" r:id="rId1"/>
    <sheet name="EIT Rules" sheetId="7" r:id="rId2"/>
    <sheet name="Conduit Data" sheetId="2" r:id="rId3"/>
    <sheet name="Ladder Data" sheetId="3" r:id="rId4"/>
    <sheet name="Vendor Register" sheetId="9" r:id="rId5"/>
    <sheet name="Thermal Check (เลือกสาย)" sheetId="5" r:id="rId6"/>
    <sheet name="1.IMC Max Count" sheetId="10" r:id="rId7"/>
    <sheet name="2.Ladder-(AC)" sheetId="11" r:id="rId8"/>
    <sheet name="2.Ladder-Tray-(PV)" sheetId="12" r:id="rId9"/>
    <sheet name="3.PV Wireway" sheetId="14" r:id="rId10"/>
    <sheet name="Fill Check - EIT" sheetId="4" r:id="rId11"/>
    <sheet name="Source Register" sheetId="6" r:id="rId12"/>
  </sheets>
  <definedNames>
    <definedName name="_xlnm._FilterDatabase" localSheetId="6" hidden="1">'1.IMC Max Count'!$A$67:$O$91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1" i="10" l="1"/>
  <c r="G71" i="10" s="1"/>
  <c r="C35" i="14"/>
  <c r="M20" i="14"/>
  <c r="F76" i="10"/>
  <c r="J71" i="10"/>
  <c r="E74" i="10"/>
  <c r="G74" i="10" s="1"/>
  <c r="H74" i="10" s="1"/>
  <c r="G75" i="10"/>
  <c r="H75" i="10" s="1"/>
  <c r="F50" i="14"/>
  <c r="Q14" i="14"/>
  <c r="P14" i="14"/>
  <c r="O14" i="14"/>
  <c r="Q13" i="14"/>
  <c r="P13" i="14"/>
  <c r="O13" i="14"/>
  <c r="Q12" i="14"/>
  <c r="P12" i="14"/>
  <c r="O12" i="14"/>
  <c r="Q11" i="14"/>
  <c r="P11" i="14"/>
  <c r="O11" i="14"/>
  <c r="Q10" i="14"/>
  <c r="P10" i="14"/>
  <c r="O10" i="14"/>
  <c r="Q9" i="14"/>
  <c r="P9" i="14"/>
  <c r="O9" i="14"/>
  <c r="T24" i="4"/>
  <c r="O24" i="4"/>
  <c r="F24" i="4"/>
  <c r="N24" i="4" s="1"/>
  <c r="T23" i="4"/>
  <c r="O23" i="4"/>
  <c r="F23" i="4"/>
  <c r="Q23" i="4" s="1"/>
  <c r="R23" i="4" s="1"/>
  <c r="T22" i="4"/>
  <c r="O22" i="4"/>
  <c r="F22" i="4"/>
  <c r="Q22" i="4" s="1"/>
  <c r="R22" i="4" s="1"/>
  <c r="T21" i="4"/>
  <c r="O21" i="4"/>
  <c r="F21" i="4"/>
  <c r="N21" i="4" s="1"/>
  <c r="T20" i="4"/>
  <c r="O20" i="4"/>
  <c r="F20" i="4"/>
  <c r="T19" i="4"/>
  <c r="O19" i="4"/>
  <c r="F19" i="4"/>
  <c r="Q19" i="4" s="1"/>
  <c r="R19" i="4" s="1"/>
  <c r="T18" i="4"/>
  <c r="O18" i="4"/>
  <c r="F18" i="4"/>
  <c r="Q18" i="4" s="1"/>
  <c r="R18" i="4" s="1"/>
  <c r="T17" i="4"/>
  <c r="O17" i="4"/>
  <c r="F17" i="4"/>
  <c r="N17" i="4" s="1"/>
  <c r="T16" i="4"/>
  <c r="O16" i="4"/>
  <c r="F16" i="4"/>
  <c r="N16" i="4" s="1"/>
  <c r="P16" i="4" s="1"/>
  <c r="T15" i="4"/>
  <c r="O15" i="4"/>
  <c r="F15" i="4"/>
  <c r="Q15" i="4" s="1"/>
  <c r="R15" i="4" s="1"/>
  <c r="T14" i="4"/>
  <c r="O14" i="4"/>
  <c r="F14" i="4"/>
  <c r="Q14" i="4" s="1"/>
  <c r="R14" i="4" s="1"/>
  <c r="T13" i="4"/>
  <c r="O13" i="4"/>
  <c r="F13" i="4"/>
  <c r="Q13" i="4" s="1"/>
  <c r="R13" i="4" s="1"/>
  <c r="T12" i="4"/>
  <c r="O12" i="4"/>
  <c r="F12" i="4"/>
  <c r="T11" i="4"/>
  <c r="O11" i="4"/>
  <c r="F11" i="4"/>
  <c r="N11" i="4" s="1"/>
  <c r="P11" i="4" s="1"/>
  <c r="T10" i="4"/>
  <c r="O10" i="4"/>
  <c r="F10" i="4"/>
  <c r="Q10" i="4" s="1"/>
  <c r="R10" i="4" s="1"/>
  <c r="T9" i="4"/>
  <c r="O9" i="4"/>
  <c r="F9" i="4"/>
  <c r="T8" i="4"/>
  <c r="O8" i="4"/>
  <c r="F8" i="4"/>
  <c r="Q8" i="4" s="1"/>
  <c r="R8" i="4" s="1"/>
  <c r="O7" i="4"/>
  <c r="O6" i="4"/>
  <c r="O5" i="4"/>
  <c r="D50" i="14"/>
  <c r="C50" i="14"/>
  <c r="B50" i="14"/>
  <c r="A50" i="14"/>
  <c r="D49" i="14"/>
  <c r="C49" i="14"/>
  <c r="B49" i="14"/>
  <c r="F49" i="14" s="1"/>
  <c r="A49" i="14"/>
  <c r="D48" i="14"/>
  <c r="C48" i="14"/>
  <c r="B48" i="14"/>
  <c r="F48" i="14" s="1"/>
  <c r="A48" i="14"/>
  <c r="D47" i="14"/>
  <c r="C47" i="14"/>
  <c r="B47" i="14"/>
  <c r="F47" i="14" s="1"/>
  <c r="A47" i="14"/>
  <c r="D46" i="14"/>
  <c r="C46" i="14"/>
  <c r="B46" i="14"/>
  <c r="F46" i="14" s="1"/>
  <c r="A46" i="14"/>
  <c r="D45" i="14"/>
  <c r="C45" i="14"/>
  <c r="B45" i="14"/>
  <c r="F45" i="14" s="1"/>
  <c r="A45" i="14"/>
  <c r="D44" i="14"/>
  <c r="C44" i="14"/>
  <c r="B44" i="14"/>
  <c r="F44" i="14" s="1"/>
  <c r="A44" i="14"/>
  <c r="D43" i="14"/>
  <c r="C43" i="14"/>
  <c r="B43" i="14"/>
  <c r="F43" i="14" s="1"/>
  <c r="A43" i="14"/>
  <c r="D42" i="14"/>
  <c r="C42" i="14"/>
  <c r="B42" i="14"/>
  <c r="F42" i="14" s="1"/>
  <c r="A42" i="14"/>
  <c r="C38" i="14"/>
  <c r="D38" i="14" s="1"/>
  <c r="K38" i="14" s="1"/>
  <c r="C37" i="14"/>
  <c r="L37" i="14" s="1"/>
  <c r="C36" i="14"/>
  <c r="D36" i="14" s="1"/>
  <c r="M24" i="14"/>
  <c r="H24" i="14"/>
  <c r="E24" i="14"/>
  <c r="J24" i="14" s="1"/>
  <c r="K24" i="14" s="1"/>
  <c r="M23" i="14"/>
  <c r="H23" i="14"/>
  <c r="E23" i="14"/>
  <c r="J23" i="14" s="1"/>
  <c r="K23" i="14" s="1"/>
  <c r="M22" i="14"/>
  <c r="H22" i="14"/>
  <c r="E22" i="14"/>
  <c r="J22" i="14" s="1"/>
  <c r="K22" i="14" s="1"/>
  <c r="M21" i="14"/>
  <c r="H21" i="14"/>
  <c r="E21" i="14"/>
  <c r="H20" i="14"/>
  <c r="E20" i="14"/>
  <c r="J20" i="14" s="1"/>
  <c r="D14" i="14"/>
  <c r="F14" i="14" s="1"/>
  <c r="T14" i="14" s="1"/>
  <c r="D13" i="14"/>
  <c r="G13" i="14" s="1"/>
  <c r="U13" i="14" s="1"/>
  <c r="Q8" i="14"/>
  <c r="P8" i="14"/>
  <c r="O8" i="14"/>
  <c r="D12" i="14"/>
  <c r="R12" i="14" s="1"/>
  <c r="Q7" i="14"/>
  <c r="P7" i="14"/>
  <c r="O7" i="14"/>
  <c r="D11" i="14"/>
  <c r="F11" i="14" s="1"/>
  <c r="T11" i="14" s="1"/>
  <c r="Q6" i="14"/>
  <c r="P6" i="14"/>
  <c r="O6" i="14"/>
  <c r="D10" i="14"/>
  <c r="H10" i="14" s="1"/>
  <c r="V10" i="14" s="1"/>
  <c r="D9" i="14"/>
  <c r="E9" i="14" s="1"/>
  <c r="S9" i="14" s="1"/>
  <c r="D8" i="14"/>
  <c r="R8" i="14" s="1"/>
  <c r="D7" i="14"/>
  <c r="H7" i="14" s="1"/>
  <c r="V7" i="14" s="1"/>
  <c r="D6" i="14"/>
  <c r="G6" i="14" s="1"/>
  <c r="U6" i="14" s="1"/>
  <c r="C52" i="12"/>
  <c r="F52" i="12" s="1"/>
  <c r="G52" i="12" s="1"/>
  <c r="H52" i="12" s="1"/>
  <c r="C51" i="12"/>
  <c r="F51" i="12" s="1"/>
  <c r="G51" i="12" s="1"/>
  <c r="H51" i="12" s="1"/>
  <c r="C50" i="12"/>
  <c r="F50" i="12" s="1"/>
  <c r="G50" i="12" s="1"/>
  <c r="H50" i="12" s="1"/>
  <c r="C49" i="12"/>
  <c r="F49" i="12" s="1"/>
  <c r="G49" i="12" s="1"/>
  <c r="H49" i="12" s="1"/>
  <c r="C42" i="12"/>
  <c r="F42" i="12" s="1"/>
  <c r="G42" i="12" s="1"/>
  <c r="H42" i="12" s="1"/>
  <c r="C41" i="12"/>
  <c r="F41" i="12" s="1"/>
  <c r="G41" i="12" s="1"/>
  <c r="H41" i="12" s="1"/>
  <c r="C40" i="12"/>
  <c r="F40" i="12" s="1"/>
  <c r="G40" i="12" s="1"/>
  <c r="H40" i="12" s="1"/>
  <c r="C39" i="12"/>
  <c r="F39" i="12" s="1"/>
  <c r="G39" i="12" s="1"/>
  <c r="H39" i="12" s="1"/>
  <c r="C33" i="12"/>
  <c r="I33" i="12" s="1"/>
  <c r="K32" i="12"/>
  <c r="C32" i="12"/>
  <c r="J32" i="12" s="1"/>
  <c r="C31" i="12"/>
  <c r="N31" i="12" s="1"/>
  <c r="C30" i="12"/>
  <c r="F30" i="12" s="1"/>
  <c r="N28" i="12"/>
  <c r="M28" i="12"/>
  <c r="L28" i="12"/>
  <c r="K28" i="12"/>
  <c r="J28" i="12"/>
  <c r="I28" i="12"/>
  <c r="H28" i="12"/>
  <c r="G28" i="12"/>
  <c r="F28" i="12"/>
  <c r="C28" i="12"/>
  <c r="N27" i="12"/>
  <c r="M27" i="12"/>
  <c r="L27" i="12"/>
  <c r="K27" i="12"/>
  <c r="J27" i="12"/>
  <c r="I27" i="12"/>
  <c r="H27" i="12"/>
  <c r="G27" i="12"/>
  <c r="F27" i="12"/>
  <c r="C27" i="12"/>
  <c r="N26" i="12"/>
  <c r="M26" i="12"/>
  <c r="L26" i="12"/>
  <c r="K26" i="12"/>
  <c r="J26" i="12"/>
  <c r="I26" i="12"/>
  <c r="H26" i="12"/>
  <c r="G26" i="12"/>
  <c r="F26" i="12"/>
  <c r="C26" i="12"/>
  <c r="N25" i="12"/>
  <c r="M25" i="12"/>
  <c r="L25" i="12"/>
  <c r="K25" i="12"/>
  <c r="J25" i="12"/>
  <c r="I25" i="12"/>
  <c r="H25" i="12"/>
  <c r="G25" i="12"/>
  <c r="F25" i="12"/>
  <c r="C25" i="12"/>
  <c r="C17" i="12"/>
  <c r="J17" i="12" s="1"/>
  <c r="C16" i="12"/>
  <c r="I16" i="12" s="1"/>
  <c r="C15" i="12"/>
  <c r="N15" i="12" s="1"/>
  <c r="N14" i="12"/>
  <c r="C14" i="12"/>
  <c r="F14" i="12" s="1"/>
  <c r="N12" i="12"/>
  <c r="M12" i="12"/>
  <c r="L12" i="12"/>
  <c r="K12" i="12"/>
  <c r="J12" i="12"/>
  <c r="I12" i="12"/>
  <c r="H12" i="12"/>
  <c r="G12" i="12"/>
  <c r="F12" i="12"/>
  <c r="C12" i="12"/>
  <c r="N11" i="12"/>
  <c r="M11" i="12"/>
  <c r="L11" i="12"/>
  <c r="K11" i="12"/>
  <c r="J11" i="12"/>
  <c r="I11" i="12"/>
  <c r="H11" i="12"/>
  <c r="G11" i="12"/>
  <c r="F11" i="12"/>
  <c r="C11" i="12"/>
  <c r="N10" i="12"/>
  <c r="M10" i="12"/>
  <c r="L10" i="12"/>
  <c r="K10" i="12"/>
  <c r="J10" i="12"/>
  <c r="I10" i="12"/>
  <c r="H10" i="12"/>
  <c r="G10" i="12"/>
  <c r="F10" i="12"/>
  <c r="C10" i="12"/>
  <c r="N9" i="12"/>
  <c r="M9" i="12"/>
  <c r="L9" i="12"/>
  <c r="K9" i="12"/>
  <c r="J9" i="12"/>
  <c r="I9" i="12"/>
  <c r="H9" i="12"/>
  <c r="G9" i="12"/>
  <c r="F9" i="12"/>
  <c r="C9" i="12"/>
  <c r="A86" i="11"/>
  <c r="B86" i="11" s="1"/>
  <c r="A85" i="11"/>
  <c r="B85" i="11" s="1"/>
  <c r="A84" i="11"/>
  <c r="B84" i="11" s="1"/>
  <c r="A83" i="11"/>
  <c r="B83" i="11" s="1"/>
  <c r="A82" i="11"/>
  <c r="B82" i="11" s="1"/>
  <c r="A81" i="11"/>
  <c r="B81" i="11" s="1"/>
  <c r="A80" i="11"/>
  <c r="B80" i="11" s="1"/>
  <c r="A79" i="11"/>
  <c r="B79" i="11" s="1"/>
  <c r="A78" i="11"/>
  <c r="B78" i="11" s="1"/>
  <c r="A75" i="11"/>
  <c r="I70" i="11"/>
  <c r="E70" i="11"/>
  <c r="H70" i="11" s="1"/>
  <c r="I69" i="11"/>
  <c r="E69" i="11"/>
  <c r="H69" i="11" s="1"/>
  <c r="I68" i="11"/>
  <c r="E68" i="11"/>
  <c r="H68" i="11" s="1"/>
  <c r="J68" i="11" s="1"/>
  <c r="I67" i="11"/>
  <c r="E67" i="11"/>
  <c r="H67" i="11" s="1"/>
  <c r="I66" i="11"/>
  <c r="E66" i="11"/>
  <c r="H66" i="11" s="1"/>
  <c r="O59" i="11"/>
  <c r="AA59" i="11" s="1"/>
  <c r="N59" i="11"/>
  <c r="Z59" i="11" s="1"/>
  <c r="M59" i="11"/>
  <c r="Y59" i="11" s="1"/>
  <c r="L59" i="11"/>
  <c r="X59" i="11" s="1"/>
  <c r="K59" i="11"/>
  <c r="W59" i="11" s="1"/>
  <c r="J59" i="11"/>
  <c r="V59" i="11" s="1"/>
  <c r="I59" i="11"/>
  <c r="U59" i="11" s="1"/>
  <c r="H59" i="11"/>
  <c r="T59" i="11" s="1"/>
  <c r="G59" i="11"/>
  <c r="S59" i="11" s="1"/>
  <c r="O58" i="11"/>
  <c r="AA58" i="11" s="1"/>
  <c r="N58" i="11"/>
  <c r="Z58" i="11" s="1"/>
  <c r="M58" i="11"/>
  <c r="Y58" i="11" s="1"/>
  <c r="L58" i="11"/>
  <c r="X58" i="11" s="1"/>
  <c r="K58" i="11"/>
  <c r="W58" i="11" s="1"/>
  <c r="J58" i="11"/>
  <c r="V58" i="11" s="1"/>
  <c r="I58" i="11"/>
  <c r="U58" i="11" s="1"/>
  <c r="H58" i="11"/>
  <c r="T58" i="11" s="1"/>
  <c r="G58" i="11"/>
  <c r="S58" i="11" s="1"/>
  <c r="O57" i="11"/>
  <c r="AA57" i="11" s="1"/>
  <c r="N57" i="11"/>
  <c r="Z57" i="11" s="1"/>
  <c r="M57" i="11"/>
  <c r="Y57" i="11" s="1"/>
  <c r="L57" i="11"/>
  <c r="X57" i="11" s="1"/>
  <c r="K57" i="11"/>
  <c r="W57" i="11" s="1"/>
  <c r="J57" i="11"/>
  <c r="V57" i="11" s="1"/>
  <c r="I57" i="11"/>
  <c r="U57" i="11" s="1"/>
  <c r="H57" i="11"/>
  <c r="T57" i="11" s="1"/>
  <c r="G57" i="11"/>
  <c r="S57" i="11" s="1"/>
  <c r="O56" i="11"/>
  <c r="AA56" i="11" s="1"/>
  <c r="N56" i="11"/>
  <c r="Z56" i="11" s="1"/>
  <c r="M56" i="11"/>
  <c r="Y56" i="11" s="1"/>
  <c r="L56" i="11"/>
  <c r="X56" i="11" s="1"/>
  <c r="K56" i="11"/>
  <c r="W56" i="11" s="1"/>
  <c r="J56" i="11"/>
  <c r="V56" i="11" s="1"/>
  <c r="I56" i="11"/>
  <c r="U56" i="11" s="1"/>
  <c r="H56" i="11"/>
  <c r="T56" i="11" s="1"/>
  <c r="G56" i="11"/>
  <c r="S56" i="11" s="1"/>
  <c r="O55" i="11"/>
  <c r="AA55" i="11" s="1"/>
  <c r="N55" i="11"/>
  <c r="Z55" i="11" s="1"/>
  <c r="M55" i="11"/>
  <c r="Y55" i="11" s="1"/>
  <c r="L55" i="11"/>
  <c r="X55" i="11" s="1"/>
  <c r="K55" i="11"/>
  <c r="W55" i="11" s="1"/>
  <c r="J55" i="11"/>
  <c r="V55" i="11" s="1"/>
  <c r="I55" i="11"/>
  <c r="U55" i="11" s="1"/>
  <c r="H55" i="11"/>
  <c r="T55" i="11" s="1"/>
  <c r="G55" i="11"/>
  <c r="S55" i="11" s="1"/>
  <c r="V54" i="11"/>
  <c r="O54" i="11"/>
  <c r="AA54" i="11" s="1"/>
  <c r="N54" i="11"/>
  <c r="Z54" i="11" s="1"/>
  <c r="M54" i="11"/>
  <c r="Y54" i="11" s="1"/>
  <c r="L54" i="11"/>
  <c r="X54" i="11" s="1"/>
  <c r="K54" i="11"/>
  <c r="W54" i="11" s="1"/>
  <c r="J54" i="11"/>
  <c r="I54" i="11"/>
  <c r="U54" i="11" s="1"/>
  <c r="H54" i="11"/>
  <c r="T54" i="11" s="1"/>
  <c r="G54" i="11"/>
  <c r="S54" i="11" s="1"/>
  <c r="O53" i="11"/>
  <c r="AA53" i="11" s="1"/>
  <c r="N53" i="11"/>
  <c r="Z53" i="11" s="1"/>
  <c r="M53" i="11"/>
  <c r="Y53" i="11" s="1"/>
  <c r="L53" i="11"/>
  <c r="X53" i="11" s="1"/>
  <c r="K53" i="11"/>
  <c r="W53" i="11" s="1"/>
  <c r="J53" i="11"/>
  <c r="V53" i="11" s="1"/>
  <c r="I53" i="11"/>
  <c r="U53" i="11" s="1"/>
  <c r="H53" i="11"/>
  <c r="T53" i="11" s="1"/>
  <c r="G53" i="11"/>
  <c r="S53" i="11" s="1"/>
  <c r="O52" i="11"/>
  <c r="AA52" i="11" s="1"/>
  <c r="N52" i="11"/>
  <c r="Z52" i="11" s="1"/>
  <c r="M52" i="11"/>
  <c r="Y52" i="11" s="1"/>
  <c r="L52" i="11"/>
  <c r="X52" i="11" s="1"/>
  <c r="K52" i="11"/>
  <c r="W52" i="11" s="1"/>
  <c r="J52" i="11"/>
  <c r="V52" i="11" s="1"/>
  <c r="I52" i="11"/>
  <c r="U52" i="11" s="1"/>
  <c r="H52" i="11"/>
  <c r="T52" i="11" s="1"/>
  <c r="G52" i="11"/>
  <c r="S52" i="11" s="1"/>
  <c r="O51" i="11"/>
  <c r="AA51" i="11" s="1"/>
  <c r="N51" i="11"/>
  <c r="Z51" i="11" s="1"/>
  <c r="M51" i="11"/>
  <c r="Y51" i="11" s="1"/>
  <c r="L51" i="11"/>
  <c r="X51" i="11" s="1"/>
  <c r="K51" i="11"/>
  <c r="W51" i="11" s="1"/>
  <c r="J51" i="11"/>
  <c r="V51" i="11" s="1"/>
  <c r="I51" i="11"/>
  <c r="U51" i="11" s="1"/>
  <c r="H51" i="11"/>
  <c r="T51" i="11" s="1"/>
  <c r="G51" i="11"/>
  <c r="S51" i="11" s="1"/>
  <c r="O50" i="11"/>
  <c r="AA50" i="11" s="1"/>
  <c r="N50" i="11"/>
  <c r="Z50" i="11" s="1"/>
  <c r="M50" i="11"/>
  <c r="Y50" i="11" s="1"/>
  <c r="L50" i="11"/>
  <c r="X50" i="11" s="1"/>
  <c r="K50" i="11"/>
  <c r="W50" i="11" s="1"/>
  <c r="J50" i="11"/>
  <c r="V50" i="11" s="1"/>
  <c r="I50" i="11"/>
  <c r="U50" i="11" s="1"/>
  <c r="H50" i="11"/>
  <c r="T50" i="11" s="1"/>
  <c r="G50" i="11"/>
  <c r="S50" i="11" s="1"/>
  <c r="AA49" i="11"/>
  <c r="Y49" i="11"/>
  <c r="T49" i="11"/>
  <c r="O49" i="11"/>
  <c r="N49" i="11"/>
  <c r="Z49" i="11" s="1"/>
  <c r="M49" i="11"/>
  <c r="L49" i="11"/>
  <c r="X49" i="11" s="1"/>
  <c r="K49" i="11"/>
  <c r="W49" i="11" s="1"/>
  <c r="J49" i="11"/>
  <c r="V49" i="11" s="1"/>
  <c r="I49" i="11"/>
  <c r="U49" i="11" s="1"/>
  <c r="H49" i="11"/>
  <c r="G49" i="11"/>
  <c r="S49" i="11" s="1"/>
  <c r="O48" i="11"/>
  <c r="AA48" i="11" s="1"/>
  <c r="N48" i="11"/>
  <c r="Z48" i="11" s="1"/>
  <c r="M48" i="11"/>
  <c r="Y48" i="11" s="1"/>
  <c r="L48" i="11"/>
  <c r="X48" i="11" s="1"/>
  <c r="K48" i="11"/>
  <c r="W48" i="11" s="1"/>
  <c r="J48" i="11"/>
  <c r="V48" i="11" s="1"/>
  <c r="I48" i="11"/>
  <c r="U48" i="11" s="1"/>
  <c r="H48" i="11"/>
  <c r="T48" i="11" s="1"/>
  <c r="G48" i="11"/>
  <c r="S48" i="11" s="1"/>
  <c r="AA47" i="11"/>
  <c r="O47" i="11"/>
  <c r="N47" i="11"/>
  <c r="Z47" i="11" s="1"/>
  <c r="M47" i="11"/>
  <c r="Y47" i="11" s="1"/>
  <c r="L47" i="11"/>
  <c r="X47" i="11" s="1"/>
  <c r="K47" i="11"/>
  <c r="W47" i="11" s="1"/>
  <c r="J47" i="11"/>
  <c r="V47" i="11" s="1"/>
  <c r="I47" i="11"/>
  <c r="U47" i="11" s="1"/>
  <c r="H47" i="11"/>
  <c r="T47" i="11" s="1"/>
  <c r="G47" i="11"/>
  <c r="S47" i="11" s="1"/>
  <c r="U46" i="11"/>
  <c r="S46" i="11"/>
  <c r="O46" i="11"/>
  <c r="AA46" i="11" s="1"/>
  <c r="N46" i="11"/>
  <c r="Z46" i="11" s="1"/>
  <c r="M46" i="11"/>
  <c r="Y46" i="11" s="1"/>
  <c r="L46" i="11"/>
  <c r="X46" i="11" s="1"/>
  <c r="K46" i="11"/>
  <c r="W46" i="11" s="1"/>
  <c r="J46" i="11"/>
  <c r="V46" i="11" s="1"/>
  <c r="I46" i="11"/>
  <c r="H46" i="11"/>
  <c r="T46" i="11" s="1"/>
  <c r="G46" i="11"/>
  <c r="O45" i="11"/>
  <c r="AA45" i="11" s="1"/>
  <c r="N45" i="11"/>
  <c r="Z45" i="11" s="1"/>
  <c r="M45" i="11"/>
  <c r="Y45" i="11" s="1"/>
  <c r="L45" i="11"/>
  <c r="X45" i="11" s="1"/>
  <c r="K45" i="11"/>
  <c r="W45" i="11" s="1"/>
  <c r="J45" i="11"/>
  <c r="V45" i="11" s="1"/>
  <c r="I45" i="11"/>
  <c r="U45" i="11" s="1"/>
  <c r="H45" i="11"/>
  <c r="T45" i="11" s="1"/>
  <c r="G45" i="11"/>
  <c r="S45" i="11" s="1"/>
  <c r="O44" i="11"/>
  <c r="AA44" i="11" s="1"/>
  <c r="N44" i="11"/>
  <c r="Z44" i="11" s="1"/>
  <c r="M44" i="11"/>
  <c r="Y44" i="11" s="1"/>
  <c r="L44" i="11"/>
  <c r="X44" i="11" s="1"/>
  <c r="K44" i="11"/>
  <c r="W44" i="11" s="1"/>
  <c r="J44" i="11"/>
  <c r="V44" i="11" s="1"/>
  <c r="I44" i="11"/>
  <c r="U44" i="11" s="1"/>
  <c r="H44" i="11"/>
  <c r="T44" i="11" s="1"/>
  <c r="G44" i="11"/>
  <c r="S44" i="11" s="1"/>
  <c r="O43" i="11"/>
  <c r="AA43" i="11" s="1"/>
  <c r="N43" i="11"/>
  <c r="Z43" i="11" s="1"/>
  <c r="M43" i="11"/>
  <c r="Y43" i="11" s="1"/>
  <c r="L43" i="11"/>
  <c r="X43" i="11" s="1"/>
  <c r="K43" i="11"/>
  <c r="W43" i="11" s="1"/>
  <c r="J43" i="11"/>
  <c r="V43" i="11" s="1"/>
  <c r="I43" i="11"/>
  <c r="U43" i="11" s="1"/>
  <c r="H43" i="11"/>
  <c r="T43" i="11" s="1"/>
  <c r="G43" i="11"/>
  <c r="S43" i="11" s="1"/>
  <c r="O42" i="11"/>
  <c r="AA42" i="11" s="1"/>
  <c r="N42" i="11"/>
  <c r="Z42" i="11" s="1"/>
  <c r="M42" i="11"/>
  <c r="Y42" i="11" s="1"/>
  <c r="L42" i="11"/>
  <c r="X42" i="11" s="1"/>
  <c r="K42" i="11"/>
  <c r="W42" i="11" s="1"/>
  <c r="J42" i="11"/>
  <c r="V42" i="11" s="1"/>
  <c r="I42" i="11"/>
  <c r="U42" i="11" s="1"/>
  <c r="H42" i="11"/>
  <c r="T42" i="11" s="1"/>
  <c r="G42" i="11"/>
  <c r="S42" i="11" s="1"/>
  <c r="O41" i="11"/>
  <c r="AA41" i="11" s="1"/>
  <c r="N41" i="11"/>
  <c r="Z41" i="11" s="1"/>
  <c r="M41" i="11"/>
  <c r="Y41" i="11" s="1"/>
  <c r="L41" i="11"/>
  <c r="X41" i="11" s="1"/>
  <c r="K41" i="11"/>
  <c r="W41" i="11" s="1"/>
  <c r="J41" i="11"/>
  <c r="V41" i="11" s="1"/>
  <c r="I41" i="11"/>
  <c r="U41" i="11" s="1"/>
  <c r="H41" i="11"/>
  <c r="T41" i="11" s="1"/>
  <c r="G41" i="11"/>
  <c r="S41" i="11" s="1"/>
  <c r="O40" i="11"/>
  <c r="AA40" i="11" s="1"/>
  <c r="N40" i="11"/>
  <c r="Z40" i="11" s="1"/>
  <c r="M40" i="11"/>
  <c r="Y40" i="11" s="1"/>
  <c r="L40" i="11"/>
  <c r="X40" i="11" s="1"/>
  <c r="K40" i="11"/>
  <c r="W40" i="11" s="1"/>
  <c r="J40" i="11"/>
  <c r="V40" i="11" s="1"/>
  <c r="I40" i="11"/>
  <c r="U40" i="11" s="1"/>
  <c r="H40" i="11"/>
  <c r="T40" i="11" s="1"/>
  <c r="G40" i="11"/>
  <c r="S40" i="11" s="1"/>
  <c r="O39" i="11"/>
  <c r="AA39" i="11" s="1"/>
  <c r="N39" i="11"/>
  <c r="Z39" i="11" s="1"/>
  <c r="M39" i="11"/>
  <c r="Y39" i="11" s="1"/>
  <c r="L39" i="11"/>
  <c r="X39" i="11" s="1"/>
  <c r="K39" i="11"/>
  <c r="W39" i="11" s="1"/>
  <c r="J39" i="11"/>
  <c r="V39" i="11" s="1"/>
  <c r="I39" i="11"/>
  <c r="U39" i="11" s="1"/>
  <c r="H39" i="11"/>
  <c r="T39" i="11" s="1"/>
  <c r="G39" i="11"/>
  <c r="S39" i="11" s="1"/>
  <c r="O38" i="11"/>
  <c r="AA38" i="11" s="1"/>
  <c r="N38" i="11"/>
  <c r="Z38" i="11" s="1"/>
  <c r="M38" i="11"/>
  <c r="Y38" i="11" s="1"/>
  <c r="L38" i="11"/>
  <c r="X38" i="11" s="1"/>
  <c r="K38" i="11"/>
  <c r="W38" i="11" s="1"/>
  <c r="J38" i="11"/>
  <c r="V38" i="11" s="1"/>
  <c r="I38" i="11"/>
  <c r="U38" i="11" s="1"/>
  <c r="H38" i="11"/>
  <c r="T38" i="11" s="1"/>
  <c r="G38" i="11"/>
  <c r="S38" i="11" s="1"/>
  <c r="Z37" i="11"/>
  <c r="O37" i="11"/>
  <c r="AA37" i="11" s="1"/>
  <c r="N37" i="11"/>
  <c r="M37" i="11"/>
  <c r="Y37" i="11" s="1"/>
  <c r="L37" i="11"/>
  <c r="X37" i="11" s="1"/>
  <c r="K37" i="11"/>
  <c r="W37" i="11" s="1"/>
  <c r="J37" i="11"/>
  <c r="V37" i="11" s="1"/>
  <c r="I37" i="11"/>
  <c r="U37" i="11" s="1"/>
  <c r="H37" i="11"/>
  <c r="T37" i="11" s="1"/>
  <c r="G37" i="11"/>
  <c r="S37" i="11" s="1"/>
  <c r="O36" i="11"/>
  <c r="AA36" i="11" s="1"/>
  <c r="N36" i="11"/>
  <c r="Z36" i="11" s="1"/>
  <c r="M36" i="11"/>
  <c r="Y36" i="11" s="1"/>
  <c r="L36" i="11"/>
  <c r="X36" i="11" s="1"/>
  <c r="K36" i="11"/>
  <c r="W36" i="11" s="1"/>
  <c r="J36" i="11"/>
  <c r="V36" i="11" s="1"/>
  <c r="I36" i="11"/>
  <c r="U36" i="11" s="1"/>
  <c r="H36" i="11"/>
  <c r="T36" i="11" s="1"/>
  <c r="G36" i="11"/>
  <c r="S36" i="11" s="1"/>
  <c r="Z35" i="11"/>
  <c r="O35" i="11"/>
  <c r="AA35" i="11" s="1"/>
  <c r="N35" i="11"/>
  <c r="M35" i="11"/>
  <c r="Y35" i="11" s="1"/>
  <c r="L35" i="11"/>
  <c r="X35" i="11" s="1"/>
  <c r="K35" i="11"/>
  <c r="W35" i="11" s="1"/>
  <c r="J35" i="11"/>
  <c r="V35" i="11" s="1"/>
  <c r="I35" i="11"/>
  <c r="U35" i="11" s="1"/>
  <c r="H35" i="11"/>
  <c r="T35" i="11" s="1"/>
  <c r="G35" i="11"/>
  <c r="S35" i="11" s="1"/>
  <c r="O34" i="11"/>
  <c r="AA34" i="11" s="1"/>
  <c r="N34" i="11"/>
  <c r="Z34" i="11" s="1"/>
  <c r="M34" i="11"/>
  <c r="Y34" i="11" s="1"/>
  <c r="L34" i="11"/>
  <c r="X34" i="11" s="1"/>
  <c r="K34" i="11"/>
  <c r="W34" i="11" s="1"/>
  <c r="J34" i="11"/>
  <c r="V34" i="11" s="1"/>
  <c r="I34" i="11"/>
  <c r="U34" i="11" s="1"/>
  <c r="H34" i="11"/>
  <c r="T34" i="11" s="1"/>
  <c r="G34" i="11"/>
  <c r="S34" i="11" s="1"/>
  <c r="U33" i="11"/>
  <c r="O33" i="11"/>
  <c r="AA33" i="11" s="1"/>
  <c r="N33" i="11"/>
  <c r="Z33" i="11" s="1"/>
  <c r="M33" i="11"/>
  <c r="Y33" i="11" s="1"/>
  <c r="L33" i="11"/>
  <c r="X33" i="11" s="1"/>
  <c r="K33" i="11"/>
  <c r="W33" i="11" s="1"/>
  <c r="J33" i="11"/>
  <c r="V33" i="11" s="1"/>
  <c r="I33" i="11"/>
  <c r="H33" i="11"/>
  <c r="T33" i="11" s="1"/>
  <c r="G33" i="11"/>
  <c r="S33" i="11" s="1"/>
  <c r="O32" i="11"/>
  <c r="AA32" i="11" s="1"/>
  <c r="N32" i="11"/>
  <c r="Z32" i="11" s="1"/>
  <c r="M32" i="11"/>
  <c r="Y32" i="11" s="1"/>
  <c r="L32" i="11"/>
  <c r="X32" i="11" s="1"/>
  <c r="K32" i="11"/>
  <c r="W32" i="11" s="1"/>
  <c r="J32" i="11"/>
  <c r="V32" i="11" s="1"/>
  <c r="I32" i="11"/>
  <c r="U32" i="11" s="1"/>
  <c r="H32" i="11"/>
  <c r="T32" i="11" s="1"/>
  <c r="G32" i="11"/>
  <c r="S32" i="11" s="1"/>
  <c r="T31" i="11"/>
  <c r="O31" i="11"/>
  <c r="AA31" i="11" s="1"/>
  <c r="N31" i="11"/>
  <c r="Z31" i="11" s="1"/>
  <c r="M31" i="11"/>
  <c r="Y31" i="11" s="1"/>
  <c r="L31" i="11"/>
  <c r="X31" i="11" s="1"/>
  <c r="K31" i="11"/>
  <c r="W31" i="11" s="1"/>
  <c r="J31" i="11"/>
  <c r="V31" i="11" s="1"/>
  <c r="I31" i="11"/>
  <c r="U31" i="11" s="1"/>
  <c r="H31" i="11"/>
  <c r="G31" i="11"/>
  <c r="S31" i="11" s="1"/>
  <c r="O30" i="11"/>
  <c r="AA30" i="11" s="1"/>
  <c r="N30" i="11"/>
  <c r="Z30" i="11" s="1"/>
  <c r="M30" i="11"/>
  <c r="Y30" i="11" s="1"/>
  <c r="L30" i="11"/>
  <c r="X30" i="11" s="1"/>
  <c r="K30" i="11"/>
  <c r="W30" i="11" s="1"/>
  <c r="J30" i="11"/>
  <c r="V30" i="11" s="1"/>
  <c r="I30" i="11"/>
  <c r="U30" i="11" s="1"/>
  <c r="H30" i="11"/>
  <c r="T30" i="11" s="1"/>
  <c r="G30" i="11"/>
  <c r="S30" i="11" s="1"/>
  <c r="W29" i="11"/>
  <c r="O29" i="11"/>
  <c r="AA29" i="11" s="1"/>
  <c r="N29" i="11"/>
  <c r="Z29" i="11" s="1"/>
  <c r="M29" i="11"/>
  <c r="Y29" i="11" s="1"/>
  <c r="L29" i="11"/>
  <c r="X29" i="11" s="1"/>
  <c r="K29" i="11"/>
  <c r="J29" i="11"/>
  <c r="V29" i="11" s="1"/>
  <c r="I29" i="11"/>
  <c r="U29" i="11" s="1"/>
  <c r="H29" i="11"/>
  <c r="T29" i="11" s="1"/>
  <c r="G29" i="11"/>
  <c r="S29" i="11" s="1"/>
  <c r="O28" i="11"/>
  <c r="AA28" i="11" s="1"/>
  <c r="N28" i="11"/>
  <c r="Z28" i="11" s="1"/>
  <c r="M28" i="11"/>
  <c r="Y28" i="11" s="1"/>
  <c r="L28" i="11"/>
  <c r="X28" i="11" s="1"/>
  <c r="K28" i="11"/>
  <c r="W28" i="11" s="1"/>
  <c r="J28" i="11"/>
  <c r="V28" i="11" s="1"/>
  <c r="I28" i="11"/>
  <c r="U28" i="11" s="1"/>
  <c r="H28" i="11"/>
  <c r="T28" i="11" s="1"/>
  <c r="G28" i="11"/>
  <c r="S28" i="11" s="1"/>
  <c r="O27" i="11"/>
  <c r="AA27" i="11" s="1"/>
  <c r="N27" i="11"/>
  <c r="Z27" i="11" s="1"/>
  <c r="M27" i="11"/>
  <c r="Y27" i="11" s="1"/>
  <c r="L27" i="11"/>
  <c r="X27" i="11" s="1"/>
  <c r="K27" i="11"/>
  <c r="W27" i="11" s="1"/>
  <c r="J27" i="11"/>
  <c r="V27" i="11" s="1"/>
  <c r="I27" i="11"/>
  <c r="U27" i="11" s="1"/>
  <c r="H27" i="11"/>
  <c r="T27" i="11" s="1"/>
  <c r="G27" i="11"/>
  <c r="S27" i="11" s="1"/>
  <c r="O26" i="11"/>
  <c r="AA26" i="11" s="1"/>
  <c r="N26" i="11"/>
  <c r="Z26" i="11" s="1"/>
  <c r="M26" i="11"/>
  <c r="Y26" i="11" s="1"/>
  <c r="L26" i="11"/>
  <c r="X26" i="11" s="1"/>
  <c r="K26" i="11"/>
  <c r="W26" i="11" s="1"/>
  <c r="J26" i="11"/>
  <c r="V26" i="11" s="1"/>
  <c r="I26" i="11"/>
  <c r="U26" i="11" s="1"/>
  <c r="H26" i="11"/>
  <c r="T26" i="11" s="1"/>
  <c r="G26" i="11"/>
  <c r="S26" i="11" s="1"/>
  <c r="S25" i="11"/>
  <c r="O25" i="11"/>
  <c r="AA25" i="11" s="1"/>
  <c r="N25" i="11"/>
  <c r="Z25" i="11" s="1"/>
  <c r="M25" i="11"/>
  <c r="Y25" i="11" s="1"/>
  <c r="L25" i="11"/>
  <c r="X25" i="11" s="1"/>
  <c r="K25" i="11"/>
  <c r="W25" i="11" s="1"/>
  <c r="J25" i="11"/>
  <c r="V25" i="11" s="1"/>
  <c r="I25" i="11"/>
  <c r="U25" i="11" s="1"/>
  <c r="H25" i="11"/>
  <c r="T25" i="11" s="1"/>
  <c r="G25" i="11"/>
  <c r="O24" i="11"/>
  <c r="AA24" i="11" s="1"/>
  <c r="N24" i="11"/>
  <c r="Z24" i="11" s="1"/>
  <c r="M24" i="11"/>
  <c r="Y24" i="11" s="1"/>
  <c r="L24" i="11"/>
  <c r="X24" i="11" s="1"/>
  <c r="K24" i="11"/>
  <c r="W24" i="11" s="1"/>
  <c r="J24" i="11"/>
  <c r="V24" i="11" s="1"/>
  <c r="I24" i="11"/>
  <c r="U24" i="11" s="1"/>
  <c r="H24" i="11"/>
  <c r="T24" i="11" s="1"/>
  <c r="G24" i="11"/>
  <c r="S24" i="11" s="1"/>
  <c r="O23" i="11"/>
  <c r="AA23" i="11" s="1"/>
  <c r="N23" i="11"/>
  <c r="Z23" i="11" s="1"/>
  <c r="M23" i="11"/>
  <c r="Y23" i="11" s="1"/>
  <c r="L23" i="11"/>
  <c r="X23" i="11" s="1"/>
  <c r="K23" i="11"/>
  <c r="W23" i="11" s="1"/>
  <c r="J23" i="11"/>
  <c r="V23" i="11" s="1"/>
  <c r="I23" i="11"/>
  <c r="U23" i="11" s="1"/>
  <c r="H23" i="11"/>
  <c r="T23" i="11" s="1"/>
  <c r="G23" i="11"/>
  <c r="S23" i="11" s="1"/>
  <c r="O22" i="11"/>
  <c r="AA22" i="11" s="1"/>
  <c r="N22" i="11"/>
  <c r="Z22" i="11" s="1"/>
  <c r="M22" i="11"/>
  <c r="Y22" i="11" s="1"/>
  <c r="L22" i="11"/>
  <c r="X22" i="11" s="1"/>
  <c r="K22" i="11"/>
  <c r="W22" i="11" s="1"/>
  <c r="J22" i="11"/>
  <c r="V22" i="11" s="1"/>
  <c r="I22" i="11"/>
  <c r="U22" i="11" s="1"/>
  <c r="H22" i="11"/>
  <c r="T22" i="11" s="1"/>
  <c r="G22" i="11"/>
  <c r="S22" i="11" s="1"/>
  <c r="V21" i="11"/>
  <c r="O21" i="11"/>
  <c r="AA21" i="11" s="1"/>
  <c r="N21" i="11"/>
  <c r="Z21" i="11" s="1"/>
  <c r="M21" i="11"/>
  <c r="Y21" i="11" s="1"/>
  <c r="L21" i="11"/>
  <c r="X21" i="11" s="1"/>
  <c r="K21" i="11"/>
  <c r="W21" i="11" s="1"/>
  <c r="J21" i="11"/>
  <c r="I21" i="11"/>
  <c r="U21" i="11" s="1"/>
  <c r="H21" i="11"/>
  <c r="T21" i="11" s="1"/>
  <c r="G21" i="11"/>
  <c r="S21" i="11" s="1"/>
  <c r="O20" i="11"/>
  <c r="AA20" i="11" s="1"/>
  <c r="N20" i="11"/>
  <c r="Z20" i="11" s="1"/>
  <c r="M20" i="11"/>
  <c r="Y20" i="11" s="1"/>
  <c r="L20" i="11"/>
  <c r="X20" i="11" s="1"/>
  <c r="K20" i="11"/>
  <c r="W20" i="11" s="1"/>
  <c r="J20" i="11"/>
  <c r="V20" i="11" s="1"/>
  <c r="I20" i="11"/>
  <c r="U20" i="11" s="1"/>
  <c r="H20" i="11"/>
  <c r="T20" i="11" s="1"/>
  <c r="G20" i="11"/>
  <c r="S20" i="11" s="1"/>
  <c r="O19" i="11"/>
  <c r="AA19" i="11" s="1"/>
  <c r="N19" i="11"/>
  <c r="Z19" i="11" s="1"/>
  <c r="M19" i="11"/>
  <c r="Y19" i="11" s="1"/>
  <c r="L19" i="11"/>
  <c r="X19" i="11" s="1"/>
  <c r="K19" i="11"/>
  <c r="W19" i="11" s="1"/>
  <c r="J19" i="11"/>
  <c r="V19" i="11" s="1"/>
  <c r="I19" i="11"/>
  <c r="U19" i="11" s="1"/>
  <c r="H19" i="11"/>
  <c r="T19" i="11" s="1"/>
  <c r="G19" i="11"/>
  <c r="S19" i="11" s="1"/>
  <c r="O18" i="11"/>
  <c r="AA18" i="11" s="1"/>
  <c r="N18" i="11"/>
  <c r="Z18" i="11" s="1"/>
  <c r="M18" i="11"/>
  <c r="Y18" i="11" s="1"/>
  <c r="L18" i="11"/>
  <c r="X18" i="11" s="1"/>
  <c r="K18" i="11"/>
  <c r="W18" i="11" s="1"/>
  <c r="J18" i="11"/>
  <c r="V18" i="11" s="1"/>
  <c r="I18" i="11"/>
  <c r="U18" i="11" s="1"/>
  <c r="H18" i="11"/>
  <c r="T18" i="11" s="1"/>
  <c r="G18" i="11"/>
  <c r="S18" i="11" s="1"/>
  <c r="O17" i="11"/>
  <c r="AA17" i="11" s="1"/>
  <c r="N17" i="11"/>
  <c r="Z17" i="11" s="1"/>
  <c r="M17" i="11"/>
  <c r="Y17" i="11" s="1"/>
  <c r="L17" i="11"/>
  <c r="X17" i="11" s="1"/>
  <c r="K17" i="11"/>
  <c r="W17" i="11" s="1"/>
  <c r="J17" i="11"/>
  <c r="V17" i="11" s="1"/>
  <c r="I17" i="11"/>
  <c r="U17" i="11" s="1"/>
  <c r="H17" i="11"/>
  <c r="T17" i="11" s="1"/>
  <c r="G17" i="11"/>
  <c r="S17" i="11" s="1"/>
  <c r="Z16" i="11"/>
  <c r="U16" i="11"/>
  <c r="O16" i="11"/>
  <c r="AA16" i="11" s="1"/>
  <c r="N16" i="11"/>
  <c r="M16" i="11"/>
  <c r="Y16" i="11" s="1"/>
  <c r="L16" i="11"/>
  <c r="X16" i="11" s="1"/>
  <c r="K16" i="11"/>
  <c r="W16" i="11" s="1"/>
  <c r="J16" i="11"/>
  <c r="V16" i="11" s="1"/>
  <c r="I16" i="11"/>
  <c r="H16" i="11"/>
  <c r="T16" i="11" s="1"/>
  <c r="G16" i="11"/>
  <c r="S16" i="11" s="1"/>
  <c r="U15" i="11"/>
  <c r="O15" i="11"/>
  <c r="AA15" i="11" s="1"/>
  <c r="N15" i="11"/>
  <c r="Z15" i="11" s="1"/>
  <c r="M15" i="11"/>
  <c r="Y15" i="11" s="1"/>
  <c r="L15" i="11"/>
  <c r="X15" i="11" s="1"/>
  <c r="K15" i="11"/>
  <c r="W15" i="11" s="1"/>
  <c r="J15" i="11"/>
  <c r="V15" i="11" s="1"/>
  <c r="I15" i="11"/>
  <c r="H15" i="11"/>
  <c r="T15" i="11" s="1"/>
  <c r="G15" i="11"/>
  <c r="S15" i="11" s="1"/>
  <c r="O14" i="11"/>
  <c r="AA14" i="11" s="1"/>
  <c r="N14" i="11"/>
  <c r="Z14" i="11" s="1"/>
  <c r="M14" i="11"/>
  <c r="Y14" i="11" s="1"/>
  <c r="L14" i="11"/>
  <c r="X14" i="11" s="1"/>
  <c r="K14" i="11"/>
  <c r="W14" i="11" s="1"/>
  <c r="J14" i="11"/>
  <c r="V14" i="11" s="1"/>
  <c r="I14" i="11"/>
  <c r="U14" i="11" s="1"/>
  <c r="H14" i="11"/>
  <c r="T14" i="11" s="1"/>
  <c r="G14" i="11"/>
  <c r="S14" i="11" s="1"/>
  <c r="O13" i="11"/>
  <c r="AA13" i="11" s="1"/>
  <c r="N13" i="11"/>
  <c r="Z13" i="11" s="1"/>
  <c r="M13" i="11"/>
  <c r="Y13" i="11" s="1"/>
  <c r="L13" i="11"/>
  <c r="X13" i="11" s="1"/>
  <c r="K13" i="11"/>
  <c r="W13" i="11" s="1"/>
  <c r="J13" i="11"/>
  <c r="V13" i="11" s="1"/>
  <c r="I13" i="11"/>
  <c r="U13" i="11" s="1"/>
  <c r="H13" i="11"/>
  <c r="T13" i="11" s="1"/>
  <c r="G13" i="11"/>
  <c r="S13" i="11" s="1"/>
  <c r="O12" i="11"/>
  <c r="AA12" i="11" s="1"/>
  <c r="N12" i="11"/>
  <c r="Z12" i="11" s="1"/>
  <c r="M12" i="11"/>
  <c r="Y12" i="11" s="1"/>
  <c r="L12" i="11"/>
  <c r="X12" i="11" s="1"/>
  <c r="K12" i="11"/>
  <c r="W12" i="11" s="1"/>
  <c r="J12" i="11"/>
  <c r="V12" i="11" s="1"/>
  <c r="I12" i="11"/>
  <c r="U12" i="11" s="1"/>
  <c r="H12" i="11"/>
  <c r="T12" i="11" s="1"/>
  <c r="G12" i="11"/>
  <c r="S12" i="11" s="1"/>
  <c r="Y11" i="11"/>
  <c r="O11" i="11"/>
  <c r="AA11" i="11" s="1"/>
  <c r="N11" i="11"/>
  <c r="Z11" i="11" s="1"/>
  <c r="M11" i="11"/>
  <c r="L11" i="11"/>
  <c r="X11" i="11" s="1"/>
  <c r="K11" i="11"/>
  <c r="W11" i="11" s="1"/>
  <c r="J11" i="11"/>
  <c r="V11" i="11" s="1"/>
  <c r="I11" i="11"/>
  <c r="U11" i="11" s="1"/>
  <c r="H11" i="11"/>
  <c r="T11" i="11" s="1"/>
  <c r="G11" i="11"/>
  <c r="S11" i="11" s="1"/>
  <c r="S10" i="11"/>
  <c r="O10" i="11"/>
  <c r="AA10" i="11" s="1"/>
  <c r="N10" i="11"/>
  <c r="Z10" i="11" s="1"/>
  <c r="M10" i="11"/>
  <c r="Y10" i="11" s="1"/>
  <c r="L10" i="11"/>
  <c r="X10" i="11" s="1"/>
  <c r="K10" i="11"/>
  <c r="W10" i="11" s="1"/>
  <c r="J10" i="11"/>
  <c r="V10" i="11" s="1"/>
  <c r="I10" i="11"/>
  <c r="U10" i="11" s="1"/>
  <c r="H10" i="11"/>
  <c r="T10" i="11" s="1"/>
  <c r="G10" i="11"/>
  <c r="O9" i="11"/>
  <c r="AA9" i="11" s="1"/>
  <c r="N9" i="11"/>
  <c r="Z9" i="11" s="1"/>
  <c r="M9" i="11"/>
  <c r="Y9" i="11" s="1"/>
  <c r="L9" i="11"/>
  <c r="X9" i="11" s="1"/>
  <c r="K9" i="11"/>
  <c r="W9" i="11" s="1"/>
  <c r="J9" i="11"/>
  <c r="V9" i="11" s="1"/>
  <c r="I9" i="11"/>
  <c r="U9" i="11" s="1"/>
  <c r="H9" i="11"/>
  <c r="T9" i="11" s="1"/>
  <c r="G9" i="11"/>
  <c r="S9" i="11" s="1"/>
  <c r="O8" i="11"/>
  <c r="AA8" i="11" s="1"/>
  <c r="N8" i="11"/>
  <c r="Z8" i="11" s="1"/>
  <c r="M8" i="11"/>
  <c r="Y8" i="11" s="1"/>
  <c r="L8" i="11"/>
  <c r="X8" i="11" s="1"/>
  <c r="K8" i="11"/>
  <c r="W8" i="11" s="1"/>
  <c r="J8" i="11"/>
  <c r="V8" i="11" s="1"/>
  <c r="I8" i="11"/>
  <c r="U8" i="11" s="1"/>
  <c r="H8" i="11"/>
  <c r="T8" i="11" s="1"/>
  <c r="G8" i="11"/>
  <c r="S8" i="11" s="1"/>
  <c r="O7" i="11"/>
  <c r="AA7" i="11" s="1"/>
  <c r="N7" i="11"/>
  <c r="Z7" i="11" s="1"/>
  <c r="M7" i="11"/>
  <c r="Y7" i="11" s="1"/>
  <c r="L7" i="11"/>
  <c r="X7" i="11" s="1"/>
  <c r="K7" i="11"/>
  <c r="W7" i="11" s="1"/>
  <c r="J7" i="11"/>
  <c r="V7" i="11" s="1"/>
  <c r="I7" i="11"/>
  <c r="U7" i="11" s="1"/>
  <c r="H7" i="11"/>
  <c r="T7" i="11" s="1"/>
  <c r="G7" i="11"/>
  <c r="S7" i="11" s="1"/>
  <c r="O6" i="11"/>
  <c r="AA6" i="11" s="1"/>
  <c r="N6" i="11"/>
  <c r="Z6" i="11" s="1"/>
  <c r="M6" i="11"/>
  <c r="Y6" i="11" s="1"/>
  <c r="L6" i="11"/>
  <c r="X6" i="11" s="1"/>
  <c r="K6" i="11"/>
  <c r="W6" i="11" s="1"/>
  <c r="J6" i="11"/>
  <c r="V6" i="11" s="1"/>
  <c r="I6" i="11"/>
  <c r="U6" i="11" s="1"/>
  <c r="H6" i="11"/>
  <c r="T6" i="11" s="1"/>
  <c r="G6" i="11"/>
  <c r="S6" i="11" s="1"/>
  <c r="A91" i="10"/>
  <c r="A90" i="10"/>
  <c r="A89" i="10"/>
  <c r="A88" i="10"/>
  <c r="A87" i="10"/>
  <c r="A86" i="10"/>
  <c r="A85" i="10"/>
  <c r="A84" i="10"/>
  <c r="A83" i="10"/>
  <c r="A82" i="10"/>
  <c r="A80" i="10"/>
  <c r="C80" i="10" s="1"/>
  <c r="D82" i="10" s="1"/>
  <c r="K75" i="10"/>
  <c r="K74" i="10"/>
  <c r="K73" i="10"/>
  <c r="K72" i="10"/>
  <c r="K71" i="10"/>
  <c r="F65" i="10"/>
  <c r="F64" i="10"/>
  <c r="F63" i="10"/>
  <c r="F62" i="10"/>
  <c r="F61" i="10"/>
  <c r="F60" i="10"/>
  <c r="I59" i="10"/>
  <c r="T59" i="10" s="1"/>
  <c r="F59" i="10"/>
  <c r="F58" i="10"/>
  <c r="F57" i="10"/>
  <c r="F56" i="10"/>
  <c r="F55" i="10"/>
  <c r="F54" i="10"/>
  <c r="F53" i="10"/>
  <c r="F52" i="10"/>
  <c r="F51" i="10"/>
  <c r="F50" i="10"/>
  <c r="F49" i="10"/>
  <c r="F48" i="10"/>
  <c r="F47" i="10"/>
  <c r="F46" i="10"/>
  <c r="F45" i="10"/>
  <c r="F44" i="10"/>
  <c r="F43" i="10"/>
  <c r="F42" i="10"/>
  <c r="F41" i="10"/>
  <c r="F40" i="10"/>
  <c r="F39" i="10"/>
  <c r="F38" i="10"/>
  <c r="F37" i="10"/>
  <c r="F36" i="10"/>
  <c r="F35" i="10"/>
  <c r="F34" i="10"/>
  <c r="F33" i="10"/>
  <c r="F32" i="10"/>
  <c r="F31" i="10"/>
  <c r="F30" i="10"/>
  <c r="F29" i="10"/>
  <c r="F28" i="10"/>
  <c r="F27" i="10"/>
  <c r="F26" i="10"/>
  <c r="F25" i="10"/>
  <c r="F24" i="10"/>
  <c r="F23" i="10"/>
  <c r="F22" i="10"/>
  <c r="F21" i="10"/>
  <c r="F20" i="10"/>
  <c r="F19" i="10"/>
  <c r="F18" i="10"/>
  <c r="F17" i="10"/>
  <c r="F16" i="10"/>
  <c r="F15" i="10"/>
  <c r="F14" i="10"/>
  <c r="Q13" i="10"/>
  <c r="E13" i="10"/>
  <c r="F13" i="10" s="1"/>
  <c r="Q12" i="10"/>
  <c r="E12" i="10"/>
  <c r="E73" i="10" s="1"/>
  <c r="G73" i="10" s="1"/>
  <c r="H73" i="10" s="1"/>
  <c r="Q11" i="10"/>
  <c r="E11" i="10"/>
  <c r="F11" i="10" s="1"/>
  <c r="Q10" i="10"/>
  <c r="E10" i="10"/>
  <c r="F5" i="4" s="1"/>
  <c r="N5" i="4" s="1"/>
  <c r="P7" i="10"/>
  <c r="P28" i="10" s="1"/>
  <c r="AA28" i="10" s="1"/>
  <c r="P6" i="10"/>
  <c r="O6" i="10"/>
  <c r="O7" i="10" s="1"/>
  <c r="N6" i="10"/>
  <c r="N7" i="10" s="1"/>
  <c r="M6" i="10"/>
  <c r="M7" i="10" s="1"/>
  <c r="L6" i="10"/>
  <c r="L7" i="10" s="1"/>
  <c r="K6" i="10"/>
  <c r="K7" i="10" s="1"/>
  <c r="J6" i="10"/>
  <c r="J7" i="10" s="1"/>
  <c r="I6" i="10"/>
  <c r="I7" i="10" s="1"/>
  <c r="I47" i="10" s="1"/>
  <c r="T47" i="10" s="1"/>
  <c r="H6" i="10"/>
  <c r="H7" i="10" s="1"/>
  <c r="G6" i="10"/>
  <c r="G7" i="10" s="1"/>
  <c r="H23" i="5"/>
  <c r="I23" i="5" s="1"/>
  <c r="I22" i="5"/>
  <c r="H22" i="5"/>
  <c r="H21" i="5"/>
  <c r="I21" i="5" s="1"/>
  <c r="H20" i="5"/>
  <c r="I20" i="5" s="1"/>
  <c r="I19" i="5"/>
  <c r="H19" i="5"/>
  <c r="H18" i="5"/>
  <c r="I18" i="5" s="1"/>
  <c r="H17" i="5"/>
  <c r="I17" i="5" s="1"/>
  <c r="H16" i="5"/>
  <c r="I16" i="5" s="1"/>
  <c r="H15" i="5"/>
  <c r="I15" i="5" s="1"/>
  <c r="H14" i="5"/>
  <c r="I14" i="5" s="1"/>
  <c r="H13" i="5"/>
  <c r="I13" i="5" s="1"/>
  <c r="H12" i="5"/>
  <c r="I12" i="5" s="1"/>
  <c r="H11" i="5"/>
  <c r="I11" i="5" s="1"/>
  <c r="H10" i="5"/>
  <c r="I10" i="5" s="1"/>
  <c r="I9" i="5"/>
  <c r="H9" i="5"/>
  <c r="I8" i="5"/>
  <c r="H8" i="5"/>
  <c r="H7" i="5"/>
  <c r="I7" i="5" s="1"/>
  <c r="H6" i="5"/>
  <c r="I6" i="5" s="1"/>
  <c r="I5" i="5"/>
  <c r="H5" i="5"/>
  <c r="H4" i="5"/>
  <c r="I4" i="5" s="1"/>
  <c r="L12" i="3"/>
  <c r="L11" i="3"/>
  <c r="L10" i="3"/>
  <c r="L9" i="3"/>
  <c r="L8" i="3"/>
  <c r="L7" i="3"/>
  <c r="L6" i="3"/>
  <c r="L5" i="3"/>
  <c r="L4" i="3"/>
  <c r="N13" i="2"/>
  <c r="K13" i="2"/>
  <c r="L13" i="2" s="1"/>
  <c r="N12" i="2"/>
  <c r="L12" i="2"/>
  <c r="K12" i="2"/>
  <c r="N11" i="2"/>
  <c r="L11" i="2"/>
  <c r="K11" i="2"/>
  <c r="N10" i="2"/>
  <c r="K10" i="2"/>
  <c r="L10" i="2" s="1"/>
  <c r="N9" i="2"/>
  <c r="L9" i="2"/>
  <c r="K9" i="2"/>
  <c r="N8" i="2"/>
  <c r="K8" i="2"/>
  <c r="L8" i="2" s="1"/>
  <c r="N7" i="2"/>
  <c r="K7" i="2"/>
  <c r="L7" i="2" s="1"/>
  <c r="N6" i="2"/>
  <c r="K6" i="2"/>
  <c r="L6" i="2" s="1"/>
  <c r="N5" i="2"/>
  <c r="L5" i="2"/>
  <c r="K5" i="2"/>
  <c r="N4" i="2"/>
  <c r="K4" i="2"/>
  <c r="L4" i="2" s="1"/>
  <c r="G20" i="14" l="1"/>
  <c r="I20" i="14" s="1"/>
  <c r="C82" i="10"/>
  <c r="D90" i="10"/>
  <c r="D87" i="10"/>
  <c r="D84" i="10"/>
  <c r="G28" i="10"/>
  <c r="R28" i="10" s="1"/>
  <c r="B82" i="10"/>
  <c r="H44" i="10"/>
  <c r="S44" i="10" s="1"/>
  <c r="H35" i="10"/>
  <c r="S35" i="10" s="1"/>
  <c r="H36" i="10"/>
  <c r="S36" i="10" s="1"/>
  <c r="H16" i="10"/>
  <c r="S16" i="10" s="1"/>
  <c r="H14" i="10"/>
  <c r="S14" i="10" s="1"/>
  <c r="H37" i="10"/>
  <c r="S37" i="10" s="1"/>
  <c r="H65" i="10"/>
  <c r="S65" i="10" s="1"/>
  <c r="H27" i="10"/>
  <c r="S27" i="10" s="1"/>
  <c r="K60" i="10"/>
  <c r="V60" i="10" s="1"/>
  <c r="K28" i="10"/>
  <c r="V28" i="10" s="1"/>
  <c r="K49" i="10"/>
  <c r="V49" i="10" s="1"/>
  <c r="L16" i="10"/>
  <c r="W16" i="10" s="1"/>
  <c r="L28" i="10"/>
  <c r="W28" i="10" s="1"/>
  <c r="L49" i="10"/>
  <c r="W49" i="10" s="1"/>
  <c r="M53" i="10"/>
  <c r="X53" i="10" s="1"/>
  <c r="M23" i="10"/>
  <c r="X23" i="10" s="1"/>
  <c r="M63" i="10"/>
  <c r="X63" i="10" s="1"/>
  <c r="M26" i="10"/>
  <c r="X26" i="10" s="1"/>
  <c r="M29" i="10"/>
  <c r="X29" i="10" s="1"/>
  <c r="M38" i="10"/>
  <c r="X38" i="10" s="1"/>
  <c r="M33" i="10"/>
  <c r="X33" i="10" s="1"/>
  <c r="M16" i="10"/>
  <c r="X16" i="10" s="1"/>
  <c r="N15" i="10"/>
  <c r="Y15" i="10" s="1"/>
  <c r="N53" i="10"/>
  <c r="Y53" i="10" s="1"/>
  <c r="N16" i="10"/>
  <c r="Y16" i="10" s="1"/>
  <c r="N37" i="10"/>
  <c r="Y37" i="10" s="1"/>
  <c r="N57" i="10"/>
  <c r="Y57" i="10" s="1"/>
  <c r="N33" i="10"/>
  <c r="Y33" i="10" s="1"/>
  <c r="N55" i="10"/>
  <c r="Y55" i="10" s="1"/>
  <c r="O54" i="10"/>
  <c r="Z54" i="10" s="1"/>
  <c r="O28" i="10"/>
  <c r="Z28" i="10" s="1"/>
  <c r="O22" i="10"/>
  <c r="Z22" i="10" s="1"/>
  <c r="B90" i="10"/>
  <c r="O57" i="10"/>
  <c r="Z57" i="10" s="1"/>
  <c r="O32" i="10"/>
  <c r="Z32" i="10" s="1"/>
  <c r="O53" i="10"/>
  <c r="Z53" i="10" s="1"/>
  <c r="O26" i="10"/>
  <c r="Z26" i="10" s="1"/>
  <c r="O37" i="10"/>
  <c r="Z37" i="10" s="1"/>
  <c r="O34" i="10"/>
  <c r="Z34" i="10" s="1"/>
  <c r="O27" i="10"/>
  <c r="Z27" i="10" s="1"/>
  <c r="O55" i="10"/>
  <c r="Z55" i="10" s="1"/>
  <c r="O63" i="10"/>
  <c r="Z63" i="10" s="1"/>
  <c r="O16" i="10"/>
  <c r="Z16" i="10" s="1"/>
  <c r="I37" i="10"/>
  <c r="T37" i="10" s="1"/>
  <c r="P56" i="10"/>
  <c r="AA56" i="10" s="1"/>
  <c r="P48" i="10"/>
  <c r="AA48" i="10" s="1"/>
  <c r="P63" i="10"/>
  <c r="AA63" i="10" s="1"/>
  <c r="I20" i="10"/>
  <c r="T20" i="10" s="1"/>
  <c r="P27" i="10"/>
  <c r="AA27" i="10" s="1"/>
  <c r="P49" i="10"/>
  <c r="AA49" i="10" s="1"/>
  <c r="I36" i="10"/>
  <c r="T36" i="10" s="1"/>
  <c r="P26" i="10"/>
  <c r="AA26" i="10" s="1"/>
  <c r="I21" i="10"/>
  <c r="T21" i="10" s="1"/>
  <c r="P34" i="10"/>
  <c r="AA34" i="10" s="1"/>
  <c r="I40" i="10"/>
  <c r="T40" i="10" s="1"/>
  <c r="P53" i="10"/>
  <c r="AA53" i="10" s="1"/>
  <c r="P57" i="10"/>
  <c r="AA57" i="10" s="1"/>
  <c r="I16" i="10"/>
  <c r="T16" i="10" s="1"/>
  <c r="O46" i="10"/>
  <c r="Z46" i="10" s="1"/>
  <c r="I46" i="10"/>
  <c r="T46" i="10" s="1"/>
  <c r="I14" i="10"/>
  <c r="T14" i="10" s="1"/>
  <c r="P41" i="10"/>
  <c r="AA41" i="10" s="1"/>
  <c r="M51" i="10"/>
  <c r="X51" i="10" s="1"/>
  <c r="P22" i="10"/>
  <c r="AA22" i="10" s="1"/>
  <c r="I35" i="10"/>
  <c r="T35" i="10" s="1"/>
  <c r="J74" i="10"/>
  <c r="H71" i="10"/>
  <c r="L71" i="10" s="1"/>
  <c r="M71" i="10" s="1"/>
  <c r="N71" i="10" s="1"/>
  <c r="I71" i="11"/>
  <c r="L14" i="12"/>
  <c r="H32" i="12"/>
  <c r="J14" i="12"/>
  <c r="J16" i="12"/>
  <c r="K16" i="12"/>
  <c r="I30" i="12"/>
  <c r="K33" i="12"/>
  <c r="M16" i="12"/>
  <c r="J30" i="12"/>
  <c r="M33" i="12"/>
  <c r="H30" i="12"/>
  <c r="N16" i="12"/>
  <c r="K30" i="12"/>
  <c r="N33" i="12"/>
  <c r="L13" i="10"/>
  <c r="W13" i="10" s="1"/>
  <c r="L30" i="12"/>
  <c r="J33" i="12"/>
  <c r="G14" i="12"/>
  <c r="M30" i="12"/>
  <c r="H14" i="12"/>
  <c r="N30" i="12"/>
  <c r="I14" i="12"/>
  <c r="K14" i="12"/>
  <c r="F32" i="12"/>
  <c r="M14" i="12"/>
  <c r="F33" i="12"/>
  <c r="G30" i="12"/>
  <c r="E72" i="10"/>
  <c r="G72" i="10" s="1"/>
  <c r="H72" i="10" s="1"/>
  <c r="N18" i="4"/>
  <c r="P18" i="4" s="1"/>
  <c r="N8" i="4"/>
  <c r="G31" i="12"/>
  <c r="G15" i="12"/>
  <c r="I15" i="12"/>
  <c r="O11" i="10"/>
  <c r="Z11" i="10" s="1"/>
  <c r="P11" i="10"/>
  <c r="AA11" i="10" s="1"/>
  <c r="N15" i="4"/>
  <c r="P15" i="4" s="1"/>
  <c r="Q5" i="4"/>
  <c r="R5" i="4" s="1"/>
  <c r="F6" i="4"/>
  <c r="Q6" i="4" s="1"/>
  <c r="R6" i="4" s="1"/>
  <c r="E42" i="14"/>
  <c r="G42" i="14" s="1"/>
  <c r="J42" i="14" s="1"/>
  <c r="I31" i="12"/>
  <c r="J31" i="12"/>
  <c r="P17" i="4"/>
  <c r="Q24" i="4"/>
  <c r="R24" i="4" s="1"/>
  <c r="M31" i="12"/>
  <c r="Q17" i="4"/>
  <c r="R17" i="4" s="1"/>
  <c r="M15" i="12"/>
  <c r="Q21" i="4"/>
  <c r="R21" i="4" s="1"/>
  <c r="P5" i="4"/>
  <c r="T5" i="4" s="1"/>
  <c r="Q11" i="4"/>
  <c r="R11" i="4" s="1"/>
  <c r="Q16" i="4"/>
  <c r="R16" i="4" s="1"/>
  <c r="P24" i="4"/>
  <c r="R9" i="14"/>
  <c r="R10" i="14"/>
  <c r="R13" i="14"/>
  <c r="R11" i="14"/>
  <c r="H8" i="14"/>
  <c r="V8" i="14" s="1"/>
  <c r="E11" i="14"/>
  <c r="S11" i="14" s="1"/>
  <c r="G22" i="14"/>
  <c r="I22" i="14" s="1"/>
  <c r="L22" i="14" s="1"/>
  <c r="R14" i="14"/>
  <c r="K20" i="14"/>
  <c r="G10" i="14"/>
  <c r="U10" i="14" s="1"/>
  <c r="G24" i="14"/>
  <c r="I24" i="14" s="1"/>
  <c r="L24" i="14" s="1"/>
  <c r="F9" i="14"/>
  <c r="T9" i="14" s="1"/>
  <c r="E6" i="14"/>
  <c r="E13" i="14"/>
  <c r="F6" i="14"/>
  <c r="T6" i="14" s="1"/>
  <c r="F13" i="14"/>
  <c r="T13" i="14" s="1"/>
  <c r="H6" i="14"/>
  <c r="V6" i="14" s="1"/>
  <c r="R6" i="14"/>
  <c r="E45" i="14"/>
  <c r="G45" i="14" s="1"/>
  <c r="J45" i="14" s="1"/>
  <c r="E8" i="14"/>
  <c r="S8" i="14" s="1"/>
  <c r="G11" i="14"/>
  <c r="U11" i="14" s="1"/>
  <c r="F8" i="14"/>
  <c r="T8" i="14" s="1"/>
  <c r="H11" i="14"/>
  <c r="V11" i="14" s="1"/>
  <c r="G8" i="14"/>
  <c r="U8" i="14" s="1"/>
  <c r="J65" i="10"/>
  <c r="U65" i="10" s="1"/>
  <c r="B85" i="10"/>
  <c r="J55" i="10"/>
  <c r="U55" i="10" s="1"/>
  <c r="J51" i="10"/>
  <c r="U51" i="10" s="1"/>
  <c r="J64" i="10"/>
  <c r="U64" i="10" s="1"/>
  <c r="J63" i="10"/>
  <c r="U63" i="10" s="1"/>
  <c r="J61" i="10"/>
  <c r="U61" i="10" s="1"/>
  <c r="J60" i="10"/>
  <c r="U60" i="10" s="1"/>
  <c r="J31" i="10"/>
  <c r="U31" i="10" s="1"/>
  <c r="J15" i="10"/>
  <c r="U15" i="10" s="1"/>
  <c r="J10" i="10"/>
  <c r="U10" i="10" s="1"/>
  <c r="J54" i="10"/>
  <c r="U54" i="10" s="1"/>
  <c r="J46" i="10"/>
  <c r="U46" i="10" s="1"/>
  <c r="J58" i="10"/>
  <c r="U58" i="10" s="1"/>
  <c r="J47" i="10"/>
  <c r="U47" i="10" s="1"/>
  <c r="J27" i="10"/>
  <c r="U27" i="10" s="1"/>
  <c r="J53" i="10"/>
  <c r="U53" i="10" s="1"/>
  <c r="J48" i="10"/>
  <c r="U48" i="10" s="1"/>
  <c r="J14" i="10"/>
  <c r="U14" i="10" s="1"/>
  <c r="J49" i="10"/>
  <c r="U49" i="10" s="1"/>
  <c r="J32" i="10"/>
  <c r="U32" i="10" s="1"/>
  <c r="J19" i="10"/>
  <c r="U19" i="10" s="1"/>
  <c r="J13" i="10"/>
  <c r="U13" i="10" s="1"/>
  <c r="J50" i="10"/>
  <c r="U50" i="10" s="1"/>
  <c r="J25" i="10"/>
  <c r="U25" i="10" s="1"/>
  <c r="J18" i="10"/>
  <c r="U18" i="10" s="1"/>
  <c r="J26" i="10"/>
  <c r="U26" i="10" s="1"/>
  <c r="J21" i="10"/>
  <c r="U21" i="10" s="1"/>
  <c r="J37" i="10"/>
  <c r="U37" i="10" s="1"/>
  <c r="J16" i="10"/>
  <c r="U16" i="10" s="1"/>
  <c r="J33" i="10"/>
  <c r="U33" i="10" s="1"/>
  <c r="J28" i="10"/>
  <c r="U28" i="10" s="1"/>
  <c r="J36" i="10"/>
  <c r="U36" i="10" s="1"/>
  <c r="J39" i="10"/>
  <c r="U39" i="10" s="1"/>
  <c r="J38" i="10"/>
  <c r="U38" i="10" s="1"/>
  <c r="J29" i="10"/>
  <c r="U29" i="10" s="1"/>
  <c r="J23" i="10"/>
  <c r="U23" i="10" s="1"/>
  <c r="J42" i="10"/>
  <c r="U42" i="10" s="1"/>
  <c r="J34" i="10"/>
  <c r="U34" i="10" s="1"/>
  <c r="J62" i="10"/>
  <c r="U62" i="10" s="1"/>
  <c r="J56" i="10"/>
  <c r="U56" i="10" s="1"/>
  <c r="J52" i="10"/>
  <c r="U52" i="10" s="1"/>
  <c r="J45" i="10"/>
  <c r="U45" i="10" s="1"/>
  <c r="J30" i="10"/>
  <c r="U30" i="10" s="1"/>
  <c r="J24" i="10"/>
  <c r="U24" i="10" s="1"/>
  <c r="J11" i="10"/>
  <c r="U11" i="10" s="1"/>
  <c r="J35" i="10"/>
  <c r="U35" i="10" s="1"/>
  <c r="J20" i="10"/>
  <c r="U20" i="10" s="1"/>
  <c r="J59" i="10"/>
  <c r="U59" i="10" s="1"/>
  <c r="J40" i="10"/>
  <c r="U40" i="10" s="1"/>
  <c r="J44" i="10"/>
  <c r="U44" i="10" s="1"/>
  <c r="J41" i="10"/>
  <c r="U41" i="10" s="1"/>
  <c r="J17" i="10"/>
  <c r="U17" i="10" s="1"/>
  <c r="J43" i="10"/>
  <c r="U43" i="10" s="1"/>
  <c r="J57" i="10"/>
  <c r="U57" i="10" s="1"/>
  <c r="J22" i="10"/>
  <c r="U22" i="10" s="1"/>
  <c r="K55" i="10"/>
  <c r="V55" i="10" s="1"/>
  <c r="G61" i="10"/>
  <c r="R61" i="10" s="1"/>
  <c r="K26" i="10"/>
  <c r="V26" i="10" s="1"/>
  <c r="G43" i="10"/>
  <c r="R43" i="10" s="1"/>
  <c r="M46" i="10"/>
  <c r="X46" i="10" s="1"/>
  <c r="M58" i="10"/>
  <c r="X58" i="10" s="1"/>
  <c r="M60" i="10"/>
  <c r="X60" i="10" s="1"/>
  <c r="M61" i="10"/>
  <c r="X61" i="10" s="1"/>
  <c r="M55" i="10"/>
  <c r="X55" i="10" s="1"/>
  <c r="M56" i="10"/>
  <c r="X56" i="10" s="1"/>
  <c r="M47" i="10"/>
  <c r="X47" i="10" s="1"/>
  <c r="M40" i="10"/>
  <c r="X40" i="10" s="1"/>
  <c r="M24" i="10"/>
  <c r="X24" i="10" s="1"/>
  <c r="M39" i="10"/>
  <c r="X39" i="10" s="1"/>
  <c r="M45" i="10"/>
  <c r="X45" i="10" s="1"/>
  <c r="M64" i="10"/>
  <c r="X64" i="10" s="1"/>
  <c r="B88" i="10"/>
  <c r="M50" i="10"/>
  <c r="X50" i="10" s="1"/>
  <c r="M49" i="10"/>
  <c r="X49" i="10" s="1"/>
  <c r="M48" i="10"/>
  <c r="X48" i="10" s="1"/>
  <c r="M44" i="10"/>
  <c r="X44" i="10" s="1"/>
  <c r="M22" i="10"/>
  <c r="X22" i="10" s="1"/>
  <c r="M18" i="10"/>
  <c r="X18" i="10" s="1"/>
  <c r="M57" i="10"/>
  <c r="X57" i="10" s="1"/>
  <c r="M54" i="10"/>
  <c r="X54" i="10" s="1"/>
  <c r="M31" i="10"/>
  <c r="X31" i="10" s="1"/>
  <c r="M42" i="10"/>
  <c r="X42" i="10" s="1"/>
  <c r="M30" i="10"/>
  <c r="X30" i="10" s="1"/>
  <c r="M43" i="10"/>
  <c r="X43" i="10" s="1"/>
  <c r="M41" i="10"/>
  <c r="X41" i="10" s="1"/>
  <c r="M17" i="10"/>
  <c r="X17" i="10" s="1"/>
  <c r="N21" i="10"/>
  <c r="Y21" i="10" s="1"/>
  <c r="G31" i="10"/>
  <c r="R31" i="10" s="1"/>
  <c r="K40" i="10"/>
  <c r="V40" i="10" s="1"/>
  <c r="L48" i="10"/>
  <c r="W48" i="10" s="1"/>
  <c r="E14" i="14"/>
  <c r="S14" i="14" s="1"/>
  <c r="N61" i="10"/>
  <c r="Y61" i="10" s="1"/>
  <c r="N63" i="10"/>
  <c r="Y63" i="10" s="1"/>
  <c r="N47" i="10"/>
  <c r="Y47" i="10" s="1"/>
  <c r="N60" i="10"/>
  <c r="Y60" i="10" s="1"/>
  <c r="N54" i="10"/>
  <c r="Y54" i="10" s="1"/>
  <c r="N50" i="10"/>
  <c r="Y50" i="10" s="1"/>
  <c r="N43" i="10"/>
  <c r="Y43" i="10" s="1"/>
  <c r="N27" i="10"/>
  <c r="Y27" i="10" s="1"/>
  <c r="N42" i="10"/>
  <c r="Y42" i="10" s="1"/>
  <c r="N52" i="10"/>
  <c r="Y52" i="10" s="1"/>
  <c r="N45" i="10"/>
  <c r="Y45" i="10" s="1"/>
  <c r="N64" i="10"/>
  <c r="Y64" i="10" s="1"/>
  <c r="N58" i="10"/>
  <c r="Y58" i="10" s="1"/>
  <c r="N46" i="10"/>
  <c r="Y46" i="10" s="1"/>
  <c r="N59" i="10"/>
  <c r="Y59" i="10" s="1"/>
  <c r="N36" i="10"/>
  <c r="Y36" i="10" s="1"/>
  <c r="N26" i="10"/>
  <c r="Y26" i="10" s="1"/>
  <c r="N49" i="10"/>
  <c r="Y49" i="10" s="1"/>
  <c r="N32" i="10"/>
  <c r="Y32" i="10" s="1"/>
  <c r="N19" i="10"/>
  <c r="Y19" i="10" s="1"/>
  <c r="N13" i="10"/>
  <c r="Y13" i="10" s="1"/>
  <c r="N30" i="10"/>
  <c r="Y30" i="10" s="1"/>
  <c r="N41" i="10"/>
  <c r="Y41" i="10" s="1"/>
  <c r="N24" i="10"/>
  <c r="Y24" i="10" s="1"/>
  <c r="N18" i="10"/>
  <c r="Y18" i="10" s="1"/>
  <c r="N40" i="10"/>
  <c r="Y40" i="10" s="1"/>
  <c r="N39" i="10"/>
  <c r="Y39" i="10" s="1"/>
  <c r="N17" i="10"/>
  <c r="Y17" i="10" s="1"/>
  <c r="N65" i="10"/>
  <c r="Y65" i="10" s="1"/>
  <c r="N51" i="10"/>
  <c r="Y51" i="10" s="1"/>
  <c r="N44" i="10"/>
  <c r="Y44" i="10" s="1"/>
  <c r="N38" i="10"/>
  <c r="Y38" i="10" s="1"/>
  <c r="N29" i="10"/>
  <c r="Y29" i="10" s="1"/>
  <c r="N23" i="10"/>
  <c r="Y23" i="10" s="1"/>
  <c r="F7" i="4"/>
  <c r="F12" i="10"/>
  <c r="L12" i="10" s="1"/>
  <c r="W12" i="10" s="1"/>
  <c r="O21" i="10"/>
  <c r="Z21" i="10" s="1"/>
  <c r="K43" i="10"/>
  <c r="V43" i="10" s="1"/>
  <c r="N48" i="10"/>
  <c r="Y48" i="10" s="1"/>
  <c r="M59" i="10"/>
  <c r="X59" i="10" s="1"/>
  <c r="M65" i="10"/>
  <c r="X65" i="10" s="1"/>
  <c r="D35" i="14"/>
  <c r="H42" i="14" s="1"/>
  <c r="I42" i="14" s="1"/>
  <c r="P21" i="10"/>
  <c r="AA21" i="10" s="1"/>
  <c r="M36" i="10"/>
  <c r="X36" i="10" s="1"/>
  <c r="G39" i="10"/>
  <c r="R39" i="10" s="1"/>
  <c r="G45" i="10"/>
  <c r="R45" i="10" s="1"/>
  <c r="B91" i="10"/>
  <c r="P51" i="10"/>
  <c r="AA51" i="10" s="1"/>
  <c r="P60" i="10"/>
  <c r="AA60" i="10" s="1"/>
  <c r="P54" i="10"/>
  <c r="AA54" i="10" s="1"/>
  <c r="P50" i="10"/>
  <c r="AA50" i="10" s="1"/>
  <c r="P59" i="10"/>
  <c r="AA59" i="10" s="1"/>
  <c r="P55" i="10"/>
  <c r="AA55" i="10" s="1"/>
  <c r="P46" i="10"/>
  <c r="AA46" i="10" s="1"/>
  <c r="P33" i="10"/>
  <c r="AA33" i="10" s="1"/>
  <c r="P17" i="10"/>
  <c r="AA17" i="10" s="1"/>
  <c r="P32" i="10"/>
  <c r="AA32" i="10" s="1"/>
  <c r="P65" i="10"/>
  <c r="AA65" i="10" s="1"/>
  <c r="P42" i="10"/>
  <c r="AA42" i="10" s="1"/>
  <c r="P35" i="10"/>
  <c r="AA35" i="10" s="1"/>
  <c r="P30" i="10"/>
  <c r="AA30" i="10" s="1"/>
  <c r="P13" i="10"/>
  <c r="AA13" i="10" s="1"/>
  <c r="P31" i="10"/>
  <c r="AA31" i="10" s="1"/>
  <c r="P61" i="10"/>
  <c r="AA61" i="10" s="1"/>
  <c r="P58" i="10"/>
  <c r="AA58" i="10" s="1"/>
  <c r="P40" i="10"/>
  <c r="AA40" i="10" s="1"/>
  <c r="P39" i="10"/>
  <c r="AA39" i="10" s="1"/>
  <c r="P43" i="10"/>
  <c r="AA43" i="10" s="1"/>
  <c r="P38" i="10"/>
  <c r="AA38" i="10" s="1"/>
  <c r="P29" i="10"/>
  <c r="AA29" i="10" s="1"/>
  <c r="P23" i="10"/>
  <c r="AA23" i="10" s="1"/>
  <c r="P44" i="10"/>
  <c r="AA44" i="10" s="1"/>
  <c r="P37" i="10"/>
  <c r="AA37" i="10" s="1"/>
  <c r="P16" i="10"/>
  <c r="AA16" i="10" s="1"/>
  <c r="G11" i="10"/>
  <c r="R11" i="10" s="1"/>
  <c r="M14" i="10"/>
  <c r="X14" i="10" s="1"/>
  <c r="P15" i="10"/>
  <c r="AA15" i="10" s="1"/>
  <c r="L19" i="10"/>
  <c r="W19" i="10" s="1"/>
  <c r="N20" i="10"/>
  <c r="Y20" i="10" s="1"/>
  <c r="H24" i="10"/>
  <c r="S24" i="10" s="1"/>
  <c r="H30" i="10"/>
  <c r="S30" i="10" s="1"/>
  <c r="I39" i="10"/>
  <c r="T39" i="10" s="1"/>
  <c r="G42" i="10"/>
  <c r="R42" i="10" s="1"/>
  <c r="H45" i="10"/>
  <c r="S45" i="10" s="1"/>
  <c r="G50" i="10"/>
  <c r="R50" i="10" s="1"/>
  <c r="F10" i="10"/>
  <c r="I10" i="10" s="1"/>
  <c r="T10" i="10" s="1"/>
  <c r="M13" i="10"/>
  <c r="X13" i="10" s="1"/>
  <c r="P14" i="10"/>
  <c r="AA14" i="10" s="1"/>
  <c r="G18" i="10"/>
  <c r="R18" i="10" s="1"/>
  <c r="O19" i="10"/>
  <c r="Z19" i="10" s="1"/>
  <c r="P20" i="10"/>
  <c r="AA20" i="10" s="1"/>
  <c r="G23" i="10"/>
  <c r="R23" i="10" s="1"/>
  <c r="H29" i="10"/>
  <c r="S29" i="10" s="1"/>
  <c r="H34" i="10"/>
  <c r="S34" i="10" s="1"/>
  <c r="L35" i="10"/>
  <c r="W35" i="10" s="1"/>
  <c r="K39" i="10"/>
  <c r="V39" i="10" s="1"/>
  <c r="I42" i="10"/>
  <c r="T42" i="10" s="1"/>
  <c r="O50" i="10"/>
  <c r="Z50" i="10" s="1"/>
  <c r="H60" i="10"/>
  <c r="S60" i="10" s="1"/>
  <c r="N19" i="4"/>
  <c r="P19" i="4" s="1"/>
  <c r="N23" i="4"/>
  <c r="P23" i="4" s="1"/>
  <c r="L10" i="10"/>
  <c r="W10" i="10" s="1"/>
  <c r="K11" i="10"/>
  <c r="V11" i="10" s="1"/>
  <c r="O13" i="10"/>
  <c r="Z13" i="10" s="1"/>
  <c r="H18" i="10"/>
  <c r="S18" i="10" s="1"/>
  <c r="P19" i="10"/>
  <c r="AA19" i="10" s="1"/>
  <c r="H23" i="10"/>
  <c r="S23" i="10" s="1"/>
  <c r="P24" i="10"/>
  <c r="AA24" i="10" s="1"/>
  <c r="I29" i="10"/>
  <c r="T29" i="10" s="1"/>
  <c r="M35" i="10"/>
  <c r="X35" i="10" s="1"/>
  <c r="H38" i="10"/>
  <c r="S38" i="10" s="1"/>
  <c r="L45" i="10"/>
  <c r="W45" i="10" s="1"/>
  <c r="H47" i="10"/>
  <c r="S47" i="10" s="1"/>
  <c r="L52" i="10"/>
  <c r="W52" i="10" s="1"/>
  <c r="G54" i="10"/>
  <c r="R54" i="10" s="1"/>
  <c r="K56" i="10"/>
  <c r="V56" i="10" s="1"/>
  <c r="M62" i="10"/>
  <c r="X62" i="10" s="1"/>
  <c r="C90" i="10"/>
  <c r="C88" i="10"/>
  <c r="C86" i="10"/>
  <c r="C84" i="10"/>
  <c r="C87" i="10"/>
  <c r="C89" i="10"/>
  <c r="C83" i="10"/>
  <c r="C91" i="10"/>
  <c r="C85" i="10"/>
  <c r="B75" i="11"/>
  <c r="H71" i="11"/>
  <c r="K66" i="11"/>
  <c r="J66" i="11"/>
  <c r="G23" i="14"/>
  <c r="I23" i="14" s="1"/>
  <c r="L23" i="14" s="1"/>
  <c r="M10" i="10"/>
  <c r="X10" i="10" s="1"/>
  <c r="L11" i="10"/>
  <c r="W11" i="10" s="1"/>
  <c r="G17" i="10"/>
  <c r="R17" i="10" s="1"/>
  <c r="I18" i="10"/>
  <c r="T18" i="10" s="1"/>
  <c r="L34" i="10"/>
  <c r="W34" i="10" s="1"/>
  <c r="N35" i="10"/>
  <c r="Y35" i="10" s="1"/>
  <c r="P45" i="10"/>
  <c r="AA45" i="10" s="1"/>
  <c r="M52" i="10"/>
  <c r="X52" i="10" s="1"/>
  <c r="L56" i="10"/>
  <c r="W56" i="10" s="1"/>
  <c r="L60" i="10"/>
  <c r="W60" i="10" s="1"/>
  <c r="N62" i="10"/>
  <c r="Y62" i="10" s="1"/>
  <c r="P64" i="10"/>
  <c r="AA64" i="10" s="1"/>
  <c r="G56" i="10"/>
  <c r="R56" i="10" s="1"/>
  <c r="J72" i="10"/>
  <c r="G58" i="10"/>
  <c r="R58" i="10" s="1"/>
  <c r="G48" i="10"/>
  <c r="R48" i="10" s="1"/>
  <c r="G38" i="10"/>
  <c r="R38" i="10" s="1"/>
  <c r="G22" i="10"/>
  <c r="R22" i="10" s="1"/>
  <c r="G47" i="10"/>
  <c r="R47" i="10" s="1"/>
  <c r="G37" i="10"/>
  <c r="R37" i="10" s="1"/>
  <c r="G55" i="10"/>
  <c r="R55" i="10" s="1"/>
  <c r="G63" i="10"/>
  <c r="R63" i="10" s="1"/>
  <c r="G57" i="10"/>
  <c r="R57" i="10" s="1"/>
  <c r="G15" i="10"/>
  <c r="R15" i="10" s="1"/>
  <c r="G35" i="10"/>
  <c r="R35" i="10" s="1"/>
  <c r="G53" i="10"/>
  <c r="R53" i="10" s="1"/>
  <c r="G14" i="10"/>
  <c r="R14" i="10" s="1"/>
  <c r="G33" i="10"/>
  <c r="R33" i="10" s="1"/>
  <c r="G20" i="10"/>
  <c r="R20" i="10" s="1"/>
  <c r="G64" i="10"/>
  <c r="R64" i="10" s="1"/>
  <c r="G49" i="10"/>
  <c r="R49" i="10" s="1"/>
  <c r="G26" i="10"/>
  <c r="R26" i="10" s="1"/>
  <c r="G32" i="10"/>
  <c r="R32" i="10" s="1"/>
  <c r="G19" i="10"/>
  <c r="R19" i="10" s="1"/>
  <c r="K52" i="10"/>
  <c r="V52" i="10" s="1"/>
  <c r="K62" i="10"/>
  <c r="V62" i="10" s="1"/>
  <c r="K61" i="10"/>
  <c r="V61" i="10" s="1"/>
  <c r="K59" i="10"/>
  <c r="V59" i="10" s="1"/>
  <c r="K58" i="10"/>
  <c r="V58" i="10" s="1"/>
  <c r="K57" i="10"/>
  <c r="V57" i="10" s="1"/>
  <c r="K48" i="10"/>
  <c r="V48" i="10" s="1"/>
  <c r="K34" i="10"/>
  <c r="V34" i="10" s="1"/>
  <c r="K18" i="10"/>
  <c r="V18" i="10" s="1"/>
  <c r="K46" i="10"/>
  <c r="V46" i="10" s="1"/>
  <c r="K33" i="10"/>
  <c r="V33" i="10" s="1"/>
  <c r="K53" i="10"/>
  <c r="V53" i="10" s="1"/>
  <c r="K63" i="10"/>
  <c r="V63" i="10" s="1"/>
  <c r="K45" i="10"/>
  <c r="V45" i="10" s="1"/>
  <c r="K37" i="10"/>
  <c r="V37" i="10" s="1"/>
  <c r="K14" i="10"/>
  <c r="V14" i="10" s="1"/>
  <c r="K20" i="10"/>
  <c r="V20" i="10" s="1"/>
  <c r="K64" i="10"/>
  <c r="V64" i="10" s="1"/>
  <c r="K32" i="10"/>
  <c r="V32" i="10" s="1"/>
  <c r="K19" i="10"/>
  <c r="V19" i="10" s="1"/>
  <c r="K13" i="10"/>
  <c r="V13" i="10" s="1"/>
  <c r="K50" i="10"/>
  <c r="V50" i="10" s="1"/>
  <c r="K31" i="10"/>
  <c r="V31" i="10" s="1"/>
  <c r="K25" i="10"/>
  <c r="V25" i="10" s="1"/>
  <c r="K54" i="10"/>
  <c r="V54" i="10" s="1"/>
  <c r="K42" i="10"/>
  <c r="V42" i="10" s="1"/>
  <c r="K30" i="10"/>
  <c r="V30" i="10" s="1"/>
  <c r="K24" i="10"/>
  <c r="V24" i="10" s="1"/>
  <c r="K15" i="10"/>
  <c r="V15" i="10" s="1"/>
  <c r="K21" i="10"/>
  <c r="V21" i="10" s="1"/>
  <c r="K70" i="11"/>
  <c r="J70" i="11"/>
  <c r="L15" i="10"/>
  <c r="W15" i="10" s="1"/>
  <c r="M21" i="10"/>
  <c r="X21" i="10" s="1"/>
  <c r="G14" i="14"/>
  <c r="U14" i="14" s="1"/>
  <c r="H14" i="14"/>
  <c r="V14" i="14" s="1"/>
  <c r="M15" i="10"/>
  <c r="X15" i="10" s="1"/>
  <c r="L35" i="14"/>
  <c r="E49" i="14"/>
  <c r="G49" i="14" s="1"/>
  <c r="J49" i="14" s="1"/>
  <c r="E50" i="14"/>
  <c r="G50" i="14" s="1"/>
  <c r="J50" i="14" s="1"/>
  <c r="E43" i="14"/>
  <c r="G43" i="14" s="1"/>
  <c r="J43" i="14" s="1"/>
  <c r="E48" i="14"/>
  <c r="G48" i="14" s="1"/>
  <c r="J48" i="14" s="1"/>
  <c r="E46" i="14"/>
  <c r="G46" i="14" s="1"/>
  <c r="J46" i="14" s="1"/>
  <c r="E44" i="14"/>
  <c r="G44" i="14" s="1"/>
  <c r="J44" i="14" s="1"/>
  <c r="E47" i="14"/>
  <c r="G47" i="14" s="1"/>
  <c r="J47" i="14" s="1"/>
  <c r="L20" i="10"/>
  <c r="W20" i="10" s="1"/>
  <c r="M25" i="10"/>
  <c r="X25" i="10" s="1"/>
  <c r="N31" i="10"/>
  <c r="Y31" i="10" s="1"/>
  <c r="K36" i="10"/>
  <c r="V36" i="10" s="1"/>
  <c r="O64" i="10"/>
  <c r="Z64" i="10" s="1"/>
  <c r="O30" i="10"/>
  <c r="Z30" i="10" s="1"/>
  <c r="O14" i="10"/>
  <c r="Z14" i="10" s="1"/>
  <c r="O52" i="10"/>
  <c r="Z52" i="10" s="1"/>
  <c r="O45" i="10"/>
  <c r="Z45" i="10" s="1"/>
  <c r="O49" i="10"/>
  <c r="Z49" i="10" s="1"/>
  <c r="O48" i="10"/>
  <c r="Z48" i="10" s="1"/>
  <c r="O47" i="10"/>
  <c r="Z47" i="10" s="1"/>
  <c r="O44" i="10"/>
  <c r="Z44" i="10" s="1"/>
  <c r="O59" i="10"/>
  <c r="Z59" i="10" s="1"/>
  <c r="O65" i="10"/>
  <c r="Z65" i="10" s="1"/>
  <c r="O43" i="10"/>
  <c r="Z43" i="10" s="1"/>
  <c r="O25" i="10"/>
  <c r="Z25" i="10" s="1"/>
  <c r="O42" i="10"/>
  <c r="Z42" i="10" s="1"/>
  <c r="O41" i="10"/>
  <c r="Z41" i="10" s="1"/>
  <c r="O24" i="10"/>
  <c r="Z24" i="10" s="1"/>
  <c r="O18" i="10"/>
  <c r="Z18" i="10" s="1"/>
  <c r="O61" i="10"/>
  <c r="Z61" i="10" s="1"/>
  <c r="O58" i="10"/>
  <c r="Z58" i="10" s="1"/>
  <c r="O40" i="10"/>
  <c r="Z40" i="10" s="1"/>
  <c r="O39" i="10"/>
  <c r="Z39" i="10" s="1"/>
  <c r="O17" i="10"/>
  <c r="Z17" i="10" s="1"/>
  <c r="O51" i="10"/>
  <c r="Z51" i="10" s="1"/>
  <c r="O38" i="10"/>
  <c r="Z38" i="10" s="1"/>
  <c r="O29" i="10"/>
  <c r="Z29" i="10" s="1"/>
  <c r="O23" i="10"/>
  <c r="Z23" i="10" s="1"/>
  <c r="L14" i="10"/>
  <c r="W14" i="10" s="1"/>
  <c r="O15" i="10"/>
  <c r="Z15" i="10" s="1"/>
  <c r="M20" i="10"/>
  <c r="X20" i="10" s="1"/>
  <c r="G24" i="10"/>
  <c r="R24" i="10" s="1"/>
  <c r="N25" i="10"/>
  <c r="Y25" i="10" s="1"/>
  <c r="G30" i="10"/>
  <c r="R30" i="10" s="1"/>
  <c r="O31" i="10"/>
  <c r="Z31" i="10" s="1"/>
  <c r="G35" i="14"/>
  <c r="I62" i="10"/>
  <c r="T62" i="10" s="1"/>
  <c r="I64" i="10"/>
  <c r="T64" i="10" s="1"/>
  <c r="J75" i="10"/>
  <c r="L75" i="10" s="1"/>
  <c r="M75" i="10" s="1"/>
  <c r="N75" i="10" s="1"/>
  <c r="I56" i="10"/>
  <c r="T56" i="10" s="1"/>
  <c r="I48" i="10"/>
  <c r="T48" i="10" s="1"/>
  <c r="I65" i="10"/>
  <c r="T65" i="10" s="1"/>
  <c r="I44" i="10"/>
  <c r="T44" i="10" s="1"/>
  <c r="I28" i="10"/>
  <c r="T28" i="10" s="1"/>
  <c r="I43" i="10"/>
  <c r="T43" i="10" s="1"/>
  <c r="I54" i="10"/>
  <c r="T54" i="10" s="1"/>
  <c r="I57" i="10"/>
  <c r="T57" i="10" s="1"/>
  <c r="I63" i="10"/>
  <c r="T63" i="10" s="1"/>
  <c r="I38" i="10"/>
  <c r="T38" i="10" s="1"/>
  <c r="I32" i="10"/>
  <c r="T32" i="10" s="1"/>
  <c r="I23" i="10"/>
  <c r="T23" i="10" s="1"/>
  <c r="I60" i="10"/>
  <c r="T60" i="10" s="1"/>
  <c r="I34" i="10"/>
  <c r="T34" i="10" s="1"/>
  <c r="I27" i="10"/>
  <c r="T27" i="10" s="1"/>
  <c r="I26" i="10"/>
  <c r="T26" i="10" s="1"/>
  <c r="I49" i="10"/>
  <c r="T49" i="10" s="1"/>
  <c r="I58" i="10"/>
  <c r="T58" i="10" s="1"/>
  <c r="I31" i="10"/>
  <c r="T31" i="10" s="1"/>
  <c r="I19" i="10"/>
  <c r="T19" i="10" s="1"/>
  <c r="I13" i="10"/>
  <c r="T13" i="10" s="1"/>
  <c r="I61" i="10"/>
  <c r="T61" i="10" s="1"/>
  <c r="I50" i="10"/>
  <c r="T50" i="10" s="1"/>
  <c r="I25" i="10"/>
  <c r="T25" i="10" s="1"/>
  <c r="G13" i="10"/>
  <c r="R13" i="10" s="1"/>
  <c r="P25" i="10"/>
  <c r="AA25" i="10" s="1"/>
  <c r="O36" i="10"/>
  <c r="Z36" i="10" s="1"/>
  <c r="G52" i="10"/>
  <c r="R52" i="10" s="1"/>
  <c r="B84" i="10"/>
  <c r="I11" i="10"/>
  <c r="T11" i="10" s="1"/>
  <c r="N14" i="10"/>
  <c r="Y14" i="10" s="1"/>
  <c r="M19" i="10"/>
  <c r="X19" i="10" s="1"/>
  <c r="O20" i="10"/>
  <c r="Z20" i="10" s="1"/>
  <c r="I24" i="10"/>
  <c r="T24" i="10" s="1"/>
  <c r="G29" i="10"/>
  <c r="R29" i="10" s="1"/>
  <c r="I30" i="10"/>
  <c r="T30" i="10" s="1"/>
  <c r="G34" i="10"/>
  <c r="R34" i="10" s="1"/>
  <c r="K35" i="10"/>
  <c r="V35" i="10" s="1"/>
  <c r="P36" i="10"/>
  <c r="AA36" i="10" s="1"/>
  <c r="H42" i="10"/>
  <c r="S42" i="10" s="1"/>
  <c r="I45" i="10"/>
  <c r="T45" i="10" s="1"/>
  <c r="H50" i="10"/>
  <c r="S50" i="10" s="1"/>
  <c r="I52" i="10"/>
  <c r="T52" i="10" s="1"/>
  <c r="G60" i="10"/>
  <c r="R60" i="10" s="1"/>
  <c r="G62" i="10"/>
  <c r="R62" i="10" s="1"/>
  <c r="B89" i="10"/>
  <c r="F7" i="14"/>
  <c r="T7" i="14" s="1"/>
  <c r="E7" i="14"/>
  <c r="G7" i="14"/>
  <c r="U7" i="14" s="1"/>
  <c r="R7" i="14"/>
  <c r="H17" i="10"/>
  <c r="S17" i="10" s="1"/>
  <c r="K23" i="10"/>
  <c r="V23" i="10" s="1"/>
  <c r="H28" i="10"/>
  <c r="S28" i="10" s="1"/>
  <c r="K29" i="10"/>
  <c r="V29" i="10" s="1"/>
  <c r="I33" i="10"/>
  <c r="T33" i="10" s="1"/>
  <c r="O35" i="10"/>
  <c r="Z35" i="10" s="1"/>
  <c r="N56" i="10"/>
  <c r="Y56" i="10" s="1"/>
  <c r="O60" i="10"/>
  <c r="Z60" i="10" s="1"/>
  <c r="D89" i="10"/>
  <c r="D83" i="10"/>
  <c r="D88" i="10"/>
  <c r="D85" i="10"/>
  <c r="D91" i="10"/>
  <c r="K67" i="11"/>
  <c r="J67" i="11"/>
  <c r="H17" i="12"/>
  <c r="G17" i="12"/>
  <c r="K17" i="12"/>
  <c r="I17" i="12"/>
  <c r="N17" i="12"/>
  <c r="M17" i="12"/>
  <c r="L17" i="12"/>
  <c r="K51" i="10"/>
  <c r="V51" i="10" s="1"/>
  <c r="L55" i="10"/>
  <c r="W55" i="10" s="1"/>
  <c r="L57" i="10"/>
  <c r="W57" i="10" s="1"/>
  <c r="L51" i="10"/>
  <c r="W51" i="10" s="1"/>
  <c r="L47" i="10"/>
  <c r="W47" i="10" s="1"/>
  <c r="L62" i="10"/>
  <c r="W62" i="10" s="1"/>
  <c r="L37" i="10"/>
  <c r="W37" i="10" s="1"/>
  <c r="L21" i="10"/>
  <c r="W21" i="10" s="1"/>
  <c r="L53" i="10"/>
  <c r="W53" i="10" s="1"/>
  <c r="L36" i="10"/>
  <c r="W36" i="10" s="1"/>
  <c r="B87" i="10"/>
  <c r="L58" i="10"/>
  <c r="W58" i="10" s="1"/>
  <c r="L64" i="10"/>
  <c r="W64" i="10" s="1"/>
  <c r="L46" i="10"/>
  <c r="W46" i="10" s="1"/>
  <c r="L31" i="10"/>
  <c r="W31" i="10" s="1"/>
  <c r="L33" i="10"/>
  <c r="W33" i="10" s="1"/>
  <c r="L26" i="10"/>
  <c r="W26" i="10" s="1"/>
  <c r="L50" i="10"/>
  <c r="W50" i="10" s="1"/>
  <c r="L25" i="10"/>
  <c r="W25" i="10" s="1"/>
  <c r="L54" i="10"/>
  <c r="W54" i="10" s="1"/>
  <c r="L61" i="10"/>
  <c r="W61" i="10" s="1"/>
  <c r="L42" i="10"/>
  <c r="W42" i="10" s="1"/>
  <c r="L30" i="10"/>
  <c r="W30" i="10" s="1"/>
  <c r="L24" i="10"/>
  <c r="W24" i="10" s="1"/>
  <c r="L18" i="10"/>
  <c r="W18" i="10" s="1"/>
  <c r="L43" i="10"/>
  <c r="W43" i="10" s="1"/>
  <c r="L41" i="10"/>
  <c r="W41" i="10" s="1"/>
  <c r="L40" i="10"/>
  <c r="W40" i="10" s="1"/>
  <c r="L39" i="10"/>
  <c r="W39" i="10" s="1"/>
  <c r="H48" i="10"/>
  <c r="S48" i="10" s="1"/>
  <c r="K65" i="10"/>
  <c r="V65" i="10" s="1"/>
  <c r="G25" i="10"/>
  <c r="R25" i="10" s="1"/>
  <c r="L59" i="10"/>
  <c r="W59" i="10" s="1"/>
  <c r="L65" i="10"/>
  <c r="W65" i="10" s="1"/>
  <c r="M11" i="10"/>
  <c r="X11" i="10" s="1"/>
  <c r="P18" i="10"/>
  <c r="AA18" i="10" s="1"/>
  <c r="H22" i="10"/>
  <c r="S22" i="10" s="1"/>
  <c r="M34" i="10"/>
  <c r="X34" i="10" s="1"/>
  <c r="K38" i="10"/>
  <c r="V38" i="10" s="1"/>
  <c r="G41" i="10"/>
  <c r="R41" i="10" s="1"/>
  <c r="G44" i="10"/>
  <c r="R44" i="10" s="1"/>
  <c r="K47" i="10"/>
  <c r="V47" i="10" s="1"/>
  <c r="P52" i="10"/>
  <c r="AA52" i="10" s="1"/>
  <c r="O62" i="10"/>
  <c r="Z62" i="10" s="1"/>
  <c r="B86" i="10"/>
  <c r="N11" i="10"/>
  <c r="Y11" i="10" s="1"/>
  <c r="G16" i="10"/>
  <c r="R16" i="10" s="1"/>
  <c r="I17" i="10"/>
  <c r="T17" i="10" s="1"/>
  <c r="I22" i="10"/>
  <c r="T22" i="10" s="1"/>
  <c r="L23" i="10"/>
  <c r="W23" i="10" s="1"/>
  <c r="G27" i="10"/>
  <c r="R27" i="10" s="1"/>
  <c r="L29" i="10"/>
  <c r="W29" i="10" s="1"/>
  <c r="N34" i="10"/>
  <c r="Y34" i="10" s="1"/>
  <c r="L38" i="10"/>
  <c r="W38" i="10" s="1"/>
  <c r="I41" i="10"/>
  <c r="T41" i="10" s="1"/>
  <c r="P47" i="10"/>
  <c r="AA47" i="10" s="1"/>
  <c r="O56" i="10"/>
  <c r="Z56" i="10" s="1"/>
  <c r="P62" i="10"/>
  <c r="AA62" i="10" s="1"/>
  <c r="D86" i="10"/>
  <c r="F17" i="12"/>
  <c r="Q9" i="4"/>
  <c r="R9" i="4" s="1"/>
  <c r="N9" i="4"/>
  <c r="P9" i="4" s="1"/>
  <c r="N20" i="4"/>
  <c r="P20" i="4" s="1"/>
  <c r="Q20" i="4"/>
  <c r="R20" i="4" s="1"/>
  <c r="K17" i="10"/>
  <c r="V17" i="10" s="1"/>
  <c r="G21" i="10"/>
  <c r="R21" i="10" s="1"/>
  <c r="K22" i="10"/>
  <c r="V22" i="10" s="1"/>
  <c r="K27" i="10"/>
  <c r="V27" i="10" s="1"/>
  <c r="K41" i="10"/>
  <c r="V41" i="10" s="1"/>
  <c r="K44" i="10"/>
  <c r="V44" i="10" s="1"/>
  <c r="G51" i="10"/>
  <c r="R51" i="10" s="1"/>
  <c r="J21" i="14"/>
  <c r="K21" i="14" s="1"/>
  <c r="G21" i="14"/>
  <c r="I21" i="14" s="1"/>
  <c r="E38" i="14"/>
  <c r="F38" i="14" s="1"/>
  <c r="H59" i="10"/>
  <c r="S59" i="10" s="1"/>
  <c r="H61" i="10"/>
  <c r="S61" i="10" s="1"/>
  <c r="H63" i="10"/>
  <c r="S63" i="10" s="1"/>
  <c r="H52" i="10"/>
  <c r="S52" i="10" s="1"/>
  <c r="H62" i="10"/>
  <c r="S62" i="10" s="1"/>
  <c r="H49" i="10"/>
  <c r="S49" i="10" s="1"/>
  <c r="H41" i="10"/>
  <c r="S41" i="10" s="1"/>
  <c r="H25" i="10"/>
  <c r="S25" i="10" s="1"/>
  <c r="H55" i="10"/>
  <c r="S55" i="10" s="1"/>
  <c r="H40" i="10"/>
  <c r="S40" i="10" s="1"/>
  <c r="J73" i="10"/>
  <c r="L73" i="10" s="1"/>
  <c r="M73" i="10" s="1"/>
  <c r="N73" i="10" s="1"/>
  <c r="H43" i="10"/>
  <c r="S43" i="10" s="1"/>
  <c r="H56" i="10"/>
  <c r="S56" i="10" s="1"/>
  <c r="H39" i="10"/>
  <c r="S39" i="10" s="1"/>
  <c r="H57" i="10"/>
  <c r="S57" i="10" s="1"/>
  <c r="B83" i="10"/>
  <c r="H19" i="10"/>
  <c r="S19" i="10" s="1"/>
  <c r="H21" i="10"/>
  <c r="S21" i="10" s="1"/>
  <c r="H15" i="10"/>
  <c r="S15" i="10" s="1"/>
  <c r="H11" i="10"/>
  <c r="S11" i="10" s="1"/>
  <c r="H33" i="10"/>
  <c r="S33" i="10" s="1"/>
  <c r="H20" i="10"/>
  <c r="S20" i="10" s="1"/>
  <c r="H64" i="10"/>
  <c r="S64" i="10" s="1"/>
  <c r="H26" i="10"/>
  <c r="S26" i="10" s="1"/>
  <c r="H32" i="10"/>
  <c r="S32" i="10" s="1"/>
  <c r="H58" i="10"/>
  <c r="S58" i="10" s="1"/>
  <c r="H54" i="10"/>
  <c r="S54" i="10" s="1"/>
  <c r="H31" i="10"/>
  <c r="S31" i="10" s="1"/>
  <c r="H13" i="10"/>
  <c r="S13" i="10" s="1"/>
  <c r="L17" i="10"/>
  <c r="W17" i="10" s="1"/>
  <c r="L22" i="10"/>
  <c r="W22" i="10" s="1"/>
  <c r="L27" i="10"/>
  <c r="W27" i="10" s="1"/>
  <c r="M28" i="10"/>
  <c r="X28" i="10" s="1"/>
  <c r="L32" i="10"/>
  <c r="W32" i="10" s="1"/>
  <c r="O33" i="10"/>
  <c r="Z33" i="10" s="1"/>
  <c r="L44" i="10"/>
  <c r="W44" i="10" s="1"/>
  <c r="G46" i="10"/>
  <c r="R46" i="10" s="1"/>
  <c r="H51" i="10"/>
  <c r="S51" i="10" s="1"/>
  <c r="H53" i="10"/>
  <c r="S53" i="10" s="1"/>
  <c r="K69" i="11"/>
  <c r="J69" i="11"/>
  <c r="N14" i="4"/>
  <c r="P14" i="4" s="1"/>
  <c r="I15" i="10"/>
  <c r="T15" i="10" s="1"/>
  <c r="K16" i="10"/>
  <c r="V16" i="10" s="1"/>
  <c r="N22" i="10"/>
  <c r="Y22" i="10" s="1"/>
  <c r="M27" i="10"/>
  <c r="X27" i="10" s="1"/>
  <c r="N28" i="10"/>
  <c r="Y28" i="10" s="1"/>
  <c r="M32" i="10"/>
  <c r="X32" i="10" s="1"/>
  <c r="G36" i="10"/>
  <c r="R36" i="10" s="1"/>
  <c r="M37" i="10"/>
  <c r="X37" i="10" s="1"/>
  <c r="G40" i="10"/>
  <c r="R40" i="10" s="1"/>
  <c r="H46" i="10"/>
  <c r="S46" i="10" s="1"/>
  <c r="I51" i="10"/>
  <c r="T51" i="10" s="1"/>
  <c r="I53" i="10"/>
  <c r="T53" i="10" s="1"/>
  <c r="I55" i="10"/>
  <c r="T55" i="10" s="1"/>
  <c r="G59" i="10"/>
  <c r="R59" i="10" s="1"/>
  <c r="L63" i="10"/>
  <c r="W63" i="10" s="1"/>
  <c r="G65" i="10"/>
  <c r="R65" i="10" s="1"/>
  <c r="N10" i="4"/>
  <c r="P10" i="4" s="1"/>
  <c r="L36" i="14"/>
  <c r="G36" i="14"/>
  <c r="K36" i="14"/>
  <c r="E36" i="14"/>
  <c r="F36" i="14" s="1"/>
  <c r="L74" i="10"/>
  <c r="M74" i="10" s="1"/>
  <c r="N74" i="10" s="1"/>
  <c r="K68" i="11"/>
  <c r="H13" i="14"/>
  <c r="V13" i="14" s="1"/>
  <c r="L16" i="12"/>
  <c r="F16" i="12"/>
  <c r="G16" i="12"/>
  <c r="H16" i="12"/>
  <c r="Q12" i="4"/>
  <c r="R12" i="4" s="1"/>
  <c r="N12" i="4"/>
  <c r="P12" i="4" s="1"/>
  <c r="E10" i="14"/>
  <c r="S10" i="14" s="1"/>
  <c r="F10" i="14"/>
  <c r="T10" i="14" s="1"/>
  <c r="G38" i="14"/>
  <c r="L38" i="14"/>
  <c r="M38" i="14" s="1"/>
  <c r="L31" i="12"/>
  <c r="K31" i="12"/>
  <c r="F31" i="12"/>
  <c r="H31" i="12"/>
  <c r="H12" i="14"/>
  <c r="V12" i="14" s="1"/>
  <c r="F12" i="14"/>
  <c r="T12" i="14" s="1"/>
  <c r="G12" i="14"/>
  <c r="U12" i="14" s="1"/>
  <c r="E12" i="14"/>
  <c r="S12" i="14" s="1"/>
  <c r="P8" i="4"/>
  <c r="G37" i="14"/>
  <c r="D37" i="14"/>
  <c r="L32" i="12"/>
  <c r="N32" i="12"/>
  <c r="I32" i="12"/>
  <c r="G32" i="12"/>
  <c r="M32" i="12"/>
  <c r="L15" i="12"/>
  <c r="K15" i="12"/>
  <c r="F15" i="12"/>
  <c r="J15" i="12"/>
  <c r="H15" i="12"/>
  <c r="H33" i="12"/>
  <c r="G33" i="12"/>
  <c r="H9" i="14"/>
  <c r="V9" i="14" s="1"/>
  <c r="G9" i="14"/>
  <c r="U9" i="14" s="1"/>
  <c r="P21" i="4"/>
  <c r="L33" i="12"/>
  <c r="N13" i="4"/>
  <c r="P13" i="4" s="1"/>
  <c r="N22" i="4"/>
  <c r="P22" i="4" s="1"/>
  <c r="B80" i="10" l="1"/>
  <c r="H76" i="10"/>
  <c r="I12" i="10"/>
  <c r="T12" i="10" s="1"/>
  <c r="M12" i="10"/>
  <c r="X12" i="10" s="1"/>
  <c r="K12" i="10"/>
  <c r="V12" i="10" s="1"/>
  <c r="P12" i="10"/>
  <c r="AA12" i="10" s="1"/>
  <c r="L72" i="10"/>
  <c r="M72" i="10" s="1"/>
  <c r="N72" i="10" s="1"/>
  <c r="N6" i="4"/>
  <c r="P6" i="4" s="1"/>
  <c r="T6" i="4" s="1"/>
  <c r="I8" i="14"/>
  <c r="W8" i="14" s="1"/>
  <c r="I6" i="14"/>
  <c r="W6" i="14" s="1"/>
  <c r="L21" i="14"/>
  <c r="I13" i="14"/>
  <c r="J13" i="14" s="1"/>
  <c r="X13" i="14" s="1"/>
  <c r="S13" i="14"/>
  <c r="S6" i="14"/>
  <c r="M36" i="14"/>
  <c r="I11" i="14"/>
  <c r="J11" i="14" s="1"/>
  <c r="X11" i="14" s="1"/>
  <c r="L20" i="14"/>
  <c r="H50" i="14"/>
  <c r="I50" i="14" s="1"/>
  <c r="K50" i="14" s="1"/>
  <c r="L50" i="14" s="1"/>
  <c r="M50" i="14" s="1"/>
  <c r="K35" i="14"/>
  <c r="M35" i="14" s="1"/>
  <c r="E35" i="14"/>
  <c r="F35" i="14" s="1"/>
  <c r="H44" i="14"/>
  <c r="I44" i="14" s="1"/>
  <c r="K44" i="14" s="1"/>
  <c r="L44" i="14" s="1"/>
  <c r="M44" i="14" s="1"/>
  <c r="H48" i="14"/>
  <c r="I48" i="14" s="1"/>
  <c r="K48" i="14" s="1"/>
  <c r="L48" i="14" s="1"/>
  <c r="M48" i="14" s="1"/>
  <c r="H43" i="14"/>
  <c r="I43" i="14" s="1"/>
  <c r="K43" i="14" s="1"/>
  <c r="L43" i="14" s="1"/>
  <c r="M43" i="14" s="1"/>
  <c r="K42" i="14"/>
  <c r="L42" i="14" s="1"/>
  <c r="M42" i="14" s="1"/>
  <c r="H45" i="14"/>
  <c r="I45" i="14" s="1"/>
  <c r="K45" i="14" s="1"/>
  <c r="L45" i="14" s="1"/>
  <c r="M45" i="14" s="1"/>
  <c r="H47" i="14"/>
  <c r="I47" i="14" s="1"/>
  <c r="K47" i="14" s="1"/>
  <c r="L47" i="14" s="1"/>
  <c r="M47" i="14" s="1"/>
  <c r="H49" i="14"/>
  <c r="I49" i="14" s="1"/>
  <c r="K49" i="14" s="1"/>
  <c r="L49" i="14" s="1"/>
  <c r="M49" i="14" s="1"/>
  <c r="H46" i="14"/>
  <c r="I46" i="14" s="1"/>
  <c r="K46" i="14" s="1"/>
  <c r="L46" i="14" s="1"/>
  <c r="M46" i="14" s="1"/>
  <c r="H38" i="14"/>
  <c r="I38" i="14"/>
  <c r="H37" i="14"/>
  <c r="I37" i="14"/>
  <c r="I12" i="14"/>
  <c r="I10" i="14"/>
  <c r="I35" i="14"/>
  <c r="H35" i="14"/>
  <c r="E37" i="14"/>
  <c r="F37" i="14" s="1"/>
  <c r="K37" i="14"/>
  <c r="M37" i="14" s="1"/>
  <c r="Q7" i="4"/>
  <c r="R7" i="4" s="1"/>
  <c r="N7" i="4"/>
  <c r="P7" i="4" s="1"/>
  <c r="T7" i="4" s="1"/>
  <c r="O10" i="10"/>
  <c r="Z10" i="10" s="1"/>
  <c r="H10" i="10"/>
  <c r="S10" i="10" s="1"/>
  <c r="O12" i="10"/>
  <c r="Z12" i="10" s="1"/>
  <c r="I14" i="14"/>
  <c r="J12" i="10"/>
  <c r="U12" i="10" s="1"/>
  <c r="P10" i="10"/>
  <c r="AA10" i="10" s="1"/>
  <c r="H36" i="14"/>
  <c r="I36" i="14"/>
  <c r="N10" i="10"/>
  <c r="Y10" i="10" s="1"/>
  <c r="K10" i="10"/>
  <c r="V10" i="10" s="1"/>
  <c r="G12" i="10"/>
  <c r="R12" i="10" s="1"/>
  <c r="G10" i="10"/>
  <c r="R10" i="10" s="1"/>
  <c r="H12" i="10"/>
  <c r="S12" i="10" s="1"/>
  <c r="C81" i="11"/>
  <c r="C78" i="11"/>
  <c r="C80" i="11"/>
  <c r="C85" i="11"/>
  <c r="C84" i="11"/>
  <c r="C83" i="11"/>
  <c r="C86" i="11"/>
  <c r="C75" i="11"/>
  <c r="C82" i="11"/>
  <c r="C79" i="11"/>
  <c r="N12" i="10"/>
  <c r="Y12" i="10" s="1"/>
  <c r="I9" i="14"/>
  <c r="S7" i="14"/>
  <c r="I7" i="14"/>
  <c r="E85" i="10" l="1"/>
  <c r="F85" i="10" s="1"/>
  <c r="G82" i="10"/>
  <c r="H82" i="10" s="1"/>
  <c r="I82" i="10" s="1"/>
  <c r="E88" i="10"/>
  <c r="F88" i="10" s="1"/>
  <c r="E90" i="10"/>
  <c r="F90" i="10" s="1"/>
  <c r="G87" i="10"/>
  <c r="H87" i="10" s="1"/>
  <c r="I87" i="10" s="1"/>
  <c r="E91" i="10"/>
  <c r="F91" i="10" s="1"/>
  <c r="E89" i="10"/>
  <c r="F89" i="10" s="1"/>
  <c r="G91" i="10"/>
  <c r="H91" i="10" s="1"/>
  <c r="I91" i="10" s="1"/>
  <c r="D80" i="10"/>
  <c r="G86" i="10"/>
  <c r="H86" i="10" s="1"/>
  <c r="I86" i="10" s="1"/>
  <c r="G88" i="10"/>
  <c r="H88" i="10" s="1"/>
  <c r="I88" i="10" s="1"/>
  <c r="E87" i="10"/>
  <c r="F87" i="10" s="1"/>
  <c r="G84" i="10"/>
  <c r="H84" i="10" s="1"/>
  <c r="I84" i="10" s="1"/>
  <c r="E82" i="10"/>
  <c r="F82" i="10" s="1"/>
  <c r="G89" i="10"/>
  <c r="H89" i="10" s="1"/>
  <c r="I89" i="10" s="1"/>
  <c r="E86" i="10"/>
  <c r="F86" i="10" s="1"/>
  <c r="G83" i="10"/>
  <c r="H83" i="10" s="1"/>
  <c r="I83" i="10" s="1"/>
  <c r="G85" i="10"/>
  <c r="H85" i="10" s="1"/>
  <c r="I85" i="10" s="1"/>
  <c r="E84" i="10"/>
  <c r="F84" i="10" s="1"/>
  <c r="G90" i="10"/>
  <c r="H90" i="10" s="1"/>
  <c r="I90" i="10" s="1"/>
  <c r="E83" i="10"/>
  <c r="F83" i="10" s="1"/>
  <c r="W13" i="14"/>
  <c r="J6" i="14"/>
  <c r="X6" i="14" s="1"/>
  <c r="J8" i="14"/>
  <c r="X8" i="14" s="1"/>
  <c r="W11" i="14"/>
  <c r="D82" i="11"/>
  <c r="E82" i="11" s="1"/>
  <c r="F82" i="11"/>
  <c r="G82" i="11" s="1"/>
  <c r="D85" i="11"/>
  <c r="E85" i="11" s="1"/>
  <c r="F85" i="11"/>
  <c r="G85" i="11" s="1"/>
  <c r="D80" i="11"/>
  <c r="E80" i="11" s="1"/>
  <c r="F80" i="11"/>
  <c r="G80" i="11" s="1"/>
  <c r="F78" i="11"/>
  <c r="G78" i="11" s="1"/>
  <c r="D78" i="11"/>
  <c r="E78" i="11" s="1"/>
  <c r="F83" i="11"/>
  <c r="G83" i="11" s="1"/>
  <c r="D83" i="11"/>
  <c r="E83" i="11" s="1"/>
  <c r="D84" i="11"/>
  <c r="E84" i="11" s="1"/>
  <c r="F84" i="11"/>
  <c r="G84" i="11" s="1"/>
  <c r="D81" i="11"/>
  <c r="E81" i="11" s="1"/>
  <c r="F81" i="11"/>
  <c r="G81" i="11" s="1"/>
  <c r="F86" i="11"/>
  <c r="G86" i="11" s="1"/>
  <c r="D86" i="11"/>
  <c r="E86" i="11" s="1"/>
  <c r="F79" i="11"/>
  <c r="G79" i="11" s="1"/>
  <c r="D79" i="11"/>
  <c r="E79" i="11" s="1"/>
  <c r="D75" i="11"/>
  <c r="E75" i="11" s="1"/>
  <c r="G75" i="11"/>
  <c r="H75" i="11" s="1"/>
  <c r="J14" i="14"/>
  <c r="X14" i="14" s="1"/>
  <c r="W14" i="14"/>
  <c r="J10" i="14"/>
  <c r="X10" i="14" s="1"/>
  <c r="W10" i="14"/>
  <c r="J7" i="14"/>
  <c r="X7" i="14" s="1"/>
  <c r="W7" i="14"/>
  <c r="W12" i="14"/>
  <c r="J12" i="14"/>
  <c r="X12" i="14" s="1"/>
  <c r="J9" i="14"/>
  <c r="X9" i="14" s="1"/>
  <c r="W9" i="14"/>
  <c r="F80" i="10" l="1"/>
  <c r="E80" i="10"/>
  <c r="H80" i="10" s="1"/>
  <c r="I75" i="11"/>
  <c r="F75" i="11"/>
  <c r="G80" i="10" l="1"/>
</calcChain>
</file>

<file path=xl/sharedStrings.xml><?xml version="1.0" encoding="utf-8"?>
<sst xmlns="http://schemas.openxmlformats.org/spreadsheetml/2006/main" count="1828" uniqueCount="737">
  <si>
    <t>Cable Containment Data Register — Expert Update 2026-08-01 / Rev.4</t>
  </si>
  <si>
    <t>Cable Containment Data Register - Example Inputs</t>
  </si>
  <si>
    <t>Field</t>
  </si>
  <si>
    <t>Value / instruction</t>
  </si>
  <si>
    <t>Status</t>
  </si>
  <si>
    <t>PRELIMINARY / EXAMPLE INPUTS - NOT APPROVED FOR CONSTRUCTION</t>
  </si>
  <si>
    <t>Conduit selected</t>
  </si>
  <si>
    <t>Panasonic White Conduit - IMC (ANSI/UL)</t>
  </si>
  <si>
    <t>Cable ladder selected</t>
  </si>
  <si>
    <t>KJL KLSG - Hot-Dip Galvanized Cable Ladder</t>
  </si>
  <si>
    <t>Purpose</t>
  </si>
  <si>
    <t>Formula-driven EIT physical-capacity screening for Panasonic IMC, cable ladder, cable tray and wireway. Rev.3 adds three input examples, Jinko 725 Wp reference, PV cable sizes 4/6/10/16 mm² and an editable Vendor Register OD master linked to all PV containment views.</t>
  </si>
  <si>
    <t>Conduit warning</t>
  </si>
  <si>
    <t>The catalogue gives nominal OD and minimum wall thickness, not a certified actual internal diameter. ID_screening is a formula for screening only.</t>
  </si>
  <si>
    <t>Ladder warning</t>
  </si>
  <si>
    <t>Nominal W x H is not automatically usable cable width/depth. Confirm shop drawing/profile and support arrangement before fill calculation.</t>
  </si>
  <si>
    <t>Engineering hold point</t>
  </si>
  <si>
    <t>Physical maximum is not an ampacity approval. Confirm actual IMC ID, usable ladder width, exact cable OD, circuit grouping, ambient factors, bending/pulling, support loads, earthing and corrosion class.</t>
  </si>
  <si>
    <t>Rev.4 central link</t>
  </si>
  <si>
    <t>Fill Calculator dropdowns use IMC Max Count!B10:B13; the OD returned from IMC Max Count!E10:E13 is linked to Vendor Register Phelps Dodge OD inputs.</t>
  </si>
  <si>
    <t>IMC selection</t>
  </si>
  <si>
    <t>IMC Max Count uses total Qty entered in the cable mix for 53% / 31% / 40% screening and provides single- or parallel-conduit recommendations.</t>
  </si>
  <si>
    <t>Area-only calculators</t>
  </si>
  <si>
    <t>Fill Calculator and Wireway Calculator use physical area fill only; no 0.8W condition is applied in either calculator.</t>
  </si>
  <si>
    <t>Separate width screen</t>
  </si>
  <si>
    <t>PV Wireway and PV Ladder/Cable Tray retain the requested additional ΣD_cable ≤ 0.8W screen where applicable.</t>
  </si>
  <si>
    <t>Use restriction</t>
  </si>
  <si>
    <t>Confirm exact cable OD, actual certified IMC internal diameter, ampacity, derating, support and bonding before IFC.</t>
  </si>
  <si>
    <t>EIT / วสท. – Cable Containment Decision Rules</t>
  </si>
  <si>
    <t>ID</t>
  </si>
  <si>
    <t>ระบบ</t>
  </si>
  <si>
    <t>หลักเกณฑ์ใช้งาน</t>
  </si>
  <si>
    <t>ค่าหลัก</t>
  </si>
  <si>
    <t>ผลต่อ PV 1C / FD-CV</t>
  </si>
  <si>
    <t>แหล่งอ้างอิง</t>
  </si>
  <si>
    <t>สถานะ</t>
  </si>
  <si>
    <t>EIT-WW-01</t>
  </si>
  <si>
    <t>Wireway</t>
  </si>
  <si>
    <t>ช่วงปกติ ห้ามพื้นที่หน้าตัดรวมของสายรวมฉนวนเกินพื้นที่ภายในราง</t>
  </si>
  <si>
    <t>20%</t>
  </si>
  <si>
    <t>คำนวณจากพื้นที่หน้าตัดภายนอกจริงของสายทุกเส้น</t>
  </si>
  <si>
    <t>วสท. 022001-22 ข้อ 5.12; Bangkok Cable Guide PDF p.383-384</t>
  </si>
  <si>
    <t>DESIGN RULE</t>
  </si>
  <si>
    <t>EIT-WW-02</t>
  </si>
  <si>
    <t>จุดต่อ/แยกที่เปิดตรวจได้ พื้นที่รวมสายและ connector</t>
  </si>
  <si>
    <t>ไม่เกิน 75%</t>
  </si>
  <si>
    <t>ใช้เฉพาะบริเวณจุดต่อ; ต้องรวม connector และตรวจการเข้าถึง</t>
  </si>
  <si>
    <t>วสท. 022001-22 ข้อ 5.12</t>
  </si>
  <si>
    <t>EIT-WW-03</t>
  </si>
  <si>
    <t>เมื่อมีตัวนำกระแสเกิน 30 เส้น ต้องตรวจ ampacity/grouping เพิ่ม</t>
  </si>
  <si>
    <t>&gt;30 CCC = derating check</t>
  </si>
  <si>
    <t>นับตัวนำที่มีกระแส ไม่ใช่นับจำนวน jacket; PE ไม่นับ และ neutral พิจารณาตามโหลด/ฮาร์มอนิก</t>
  </si>
  <si>
    <t>Bangkok Cable Guide PDF p.383; วสท. 022001-22</t>
  </si>
  <si>
    <t>HOLD POINT</t>
  </si>
  <si>
    <t>EIT-WW-04</t>
  </si>
  <si>
    <t>ตัวนำวงจรเดียวกัน รวมถึง PE ต้องจัดกลุ่ม/เดินร่วมกัน</t>
  </si>
  <si>
    <t>ทุกวงจร</t>
  </si>
  <si>
    <t>PV +/− ต้องเดินคู่ชิดกัน; AC phase/neutral/PE ต้องจัดกลุ่ม</t>
  </si>
  <si>
    <t>EIT-SEP-01</t>
  </si>
  <si>
    <t>AC/DC</t>
  </si>
  <si>
    <t>แม้ฉนวนที่เหมาะสมอาจอนุญาตให้อยู่ใน enclosure เดียวกันได้ แนวทางโครงการให้แยก AC/DC</t>
  </si>
  <si>
    <t>Separate หรือ solid divider</t>
  </si>
  <si>
    <t>ลดความเสี่ยงสับสน, EMC, maintenance และเหตุฉุกเฉิน</t>
  </si>
  <si>
    <t>Bangkok Cable Guide PDF p.352; project engineering rule</t>
  </si>
  <si>
    <t>PROJECT RULE</t>
  </si>
  <si>
    <t>EIT-TR-01</t>
  </si>
  <si>
    <t>Cable ladder/tray</t>
  </si>
  <si>
    <t>Cable tray/ladder ไม่มีเกณฑ์ fill 20% แบบ wireway; ต้องใช้ชนิดสายและตารางความกว้าง/พื้นที่ตามข้อ 5.15</t>
  </si>
  <si>
    <t>No universal fill %</t>
  </si>
  <si>
    <t>ห้ามใช้สูตร 20% ตัดสิน ladder</t>
  </si>
  <si>
    <t>วสท. 022001-22 ข้อ 5.15 และตาราง 5-7</t>
  </si>
  <si>
    <t>EIT-TR-02</t>
  </si>
  <si>
    <t>สายแกนเดียวมีเปลือก วางตรงบนรางได้เมื่อขนาดตัวนำไม่น้อยกว่า 25 mm²; สายหลายแกนวางได้ทุกขนาดตามเงื่อนไข</t>
  </si>
  <si>
    <t>1C ≥25 mm²</t>
  </si>
  <si>
    <t>PV H1Z2Z2-K 4/6/10 mm² ไม่วางเปิดตรงบน ladder ภายใต้เกณฑ์ทั่วไป; FD-CV 1C ≥25 mm² จึงพิจารณาได้</t>
  </si>
  <si>
    <t>Bangkok Cable Guide PDF p.241; วสท. 022001-22 ข้อ 5.15</t>
  </si>
  <si>
    <t>CRITICAL</t>
  </si>
  <si>
    <t>EIT-TR-03</t>
  </si>
  <si>
    <t>สายไม่มีเปลือก เช่น IEC 01/THW ห้ามวางตรงบน tray/ladder</t>
  </si>
  <si>
    <t>Not permitted direct</t>
  </si>
  <si>
    <t>ต้องอยู่ในท่อ/ช่องเดินสายที่เหมาะสม</t>
  </si>
  <si>
    <t>Bangkok Cable Guide PDF p.240-241</t>
  </si>
  <si>
    <t>EIT-TR-04</t>
  </si>
  <si>
    <t>จัดสายชั้นเดียวหรือ trefoil ตามชนิดวงจร ไม่ซ้อนหลายชั้น; มัดสาย 1C ของวงจรเดียวกันเป็นกลุ่ม</t>
  </si>
  <si>
    <t>Single layer / trefoil</t>
  </si>
  <si>
    <t>FD-CV 1C วงจร 3 เฟสต้องจัดกลุ่มและรักษาสมมาตร โดยเฉพาะวงจรขนาน</t>
  </si>
  <si>
    <t>Bangkok Cable Guide PDF p.241; วสท. 022001-22</t>
  </si>
  <si>
    <t>EIT-TR-05</t>
  </si>
  <si>
    <t>ช่องเปิดไม่น้อยกว่า 30% เป็นนิยามรางระบายอากาศ ไม่ใช่เปอร์เซ็นต์บรรจุสาย</t>
  </si>
  <si>
    <t>30% open area ≠ cable fill</t>
  </si>
  <si>
    <t>อย่านำ 30% ไปคูณพื้นที่รางเพื่อหาจำนวนสาย</t>
  </si>
  <si>
    <t>Bangkok Cable Guide PDF p.213</t>
  </si>
  <si>
    <t>CLARIFICATION</t>
  </si>
  <si>
    <t>PV-STD-01</t>
  </si>
  <si>
    <t>PV/BESS</t>
  </si>
  <si>
    <t>ตรวจฉบับ วสท. PV/BESS ปัจจุบันและข้อกำหนดการไฟฟ้าก่อนออกแบบรายละเอียด</t>
  </si>
  <si>
    <t>วสท. 022013-23 พ.ศ.2568</t>
  </si>
  <si>
    <t>ข้อ 5.15 เป็นฐานทั่วไป; วิธีติดตั้ง PV ต้องยืนยันกับมาตรฐานเฉพาะและวิศวกร</t>
  </si>
  <si>
    <t>EIT official book page</t>
  </si>
  <si>
    <t>Panasonic IMC - Manufacturer Catalogue Data</t>
  </si>
  <si>
    <t>Brand</t>
  </si>
  <si>
    <t>Series / type</t>
  </si>
  <si>
    <t>Item No.</t>
  </si>
  <si>
    <t>Trade size (inch)</t>
  </si>
  <si>
    <t>Outside diameter (mm)</t>
  </si>
  <si>
    <t>Minimum wall thickness (mm)</t>
  </si>
  <si>
    <t>Length (mm)</t>
  </si>
  <si>
    <t>Nominal weight (kg/pc)</t>
  </si>
  <si>
    <t>Primary bundle (pcs)</t>
  </si>
  <si>
    <t>Master bundle (pcs)</t>
  </si>
  <si>
    <t>ID_screening (mm)</t>
  </si>
  <si>
    <t>Area_screening (mm2)</t>
  </si>
  <si>
    <t>Confirmed actual ID (mm)</t>
  </si>
  <si>
    <t>Confirmed internal area (mm2)</t>
  </si>
  <si>
    <t>Standard / listing</t>
  </si>
  <si>
    <t>Source page</t>
  </si>
  <si>
    <t>Status / remark</t>
  </si>
  <si>
    <t>Panasonic</t>
  </si>
  <si>
    <t>White Conduit IMC</t>
  </si>
  <si>
    <t>DWM012Y</t>
  </si>
  <si>
    <t>1/2</t>
  </si>
  <si>
    <t>UL 1242; catalogue also shows TIS 770 coverage</t>
  </si>
  <si>
    <t>PDF page 5 (printed pp. 7-8)</t>
  </si>
  <si>
    <t>OPEN - confirm current product/certificate and actual ID</t>
  </si>
  <si>
    <t>DWM034Y</t>
  </si>
  <si>
    <t>3/4</t>
  </si>
  <si>
    <t>DWM100Y</t>
  </si>
  <si>
    <t>1</t>
  </si>
  <si>
    <t>DWM114Y</t>
  </si>
  <si>
    <t>1-1/4</t>
  </si>
  <si>
    <t>DWM112Y</t>
  </si>
  <si>
    <t>1-1/2</t>
  </si>
  <si>
    <t>DWM200Y</t>
  </si>
  <si>
    <t>2</t>
  </si>
  <si>
    <t>DWM212Y</t>
  </si>
  <si>
    <t>2-1/2</t>
  </si>
  <si>
    <t>DWM300Y</t>
  </si>
  <si>
    <t>3</t>
  </si>
  <si>
    <t>DWM312Y</t>
  </si>
  <si>
    <t>3-1/2</t>
  </si>
  <si>
    <t>DWM400Y</t>
  </si>
  <si>
    <t>4</t>
  </si>
  <si>
    <t>Model code</t>
  </si>
  <si>
    <t>Nominal width W (mm)</t>
  </si>
  <si>
    <t>Nominal height H (mm)</t>
  </si>
  <si>
    <t>Length L (mm)</t>
  </si>
  <si>
    <t>Steel thickness (mm)</t>
  </si>
  <si>
    <t>Material</t>
  </si>
  <si>
    <t>Finish</t>
  </si>
  <si>
    <t>Coating thickness stated</t>
  </si>
  <si>
    <t>Confirmed usable width (mm)</t>
  </si>
  <si>
    <t>Confirmed usable depth (mm)</t>
  </si>
  <si>
    <t>Usable area if adopted (mm2)</t>
  </si>
  <si>
    <t>Support span/load rating</t>
  </si>
  <si>
    <t>Remark</t>
  </si>
  <si>
    <t>KJL</t>
  </si>
  <si>
    <t>KLSG 0200</t>
  </si>
  <si>
    <t>SPHC hot rolled mild steel sheet</t>
  </si>
  <si>
    <t>Hot-Dip Galvanized per catalogue</t>
  </si>
  <si>
    <t>Average 45-60 micron</t>
  </si>
  <si>
    <t>TO BE CONFIRMED</t>
  </si>
  <si>
    <t>PDF pages 122-123</t>
  </si>
  <si>
    <t>OPEN</t>
  </si>
  <si>
    <t>Nominal dimensions are not treated as confirmed usable dimensions.</t>
  </si>
  <si>
    <t>KLSG 0300</t>
  </si>
  <si>
    <t>KLSG 0400</t>
  </si>
  <si>
    <t>KLSG 0500</t>
  </si>
  <si>
    <t>KLSG 0600</t>
  </si>
  <si>
    <t>KLSG 0700</t>
  </si>
  <si>
    <t>KLSG 0800</t>
  </si>
  <si>
    <t>KLSG 0900</t>
  </si>
  <si>
    <t>KLSG 1000</t>
  </si>
  <si>
    <t>PV Cable OD Master | editable manufacturer input linked to containment sheets</t>
  </si>
  <si>
    <t>Cable ID</t>
  </si>
  <si>
    <t>Manufacturer</t>
  </si>
  <si>
    <t>Cable type</t>
  </si>
  <si>
    <t>CSA (mm²)</t>
  </si>
  <si>
    <t>OD input (mm)</t>
  </si>
  <si>
    <t>Active downstream</t>
  </si>
  <si>
    <t>OD source / note</t>
  </si>
  <si>
    <t>PV-PD-4</t>
  </si>
  <si>
    <t>Phelps Dodge</t>
  </si>
  <si>
    <t>H1Z2Z2-K</t>
  </si>
  <si>
    <t>YES</t>
  </si>
  <si>
    <t>Phelps_Dodge_PV_Cable_H1Z2Z2-K_Datasheet.pdf; conservative max OD used for screening</t>
  </si>
  <si>
    <t>PV-PD-6</t>
  </si>
  <si>
    <t>PV-PD-10</t>
  </si>
  <si>
    <t>PV-PD-16</t>
  </si>
  <si>
    <t>PV-BK-4</t>
  </si>
  <si>
    <t>Bangkok Cable</t>
  </si>
  <si>
    <t>OPTION</t>
  </si>
  <si>
    <t>Bangkok_Cable_H1Z2Z2-K_PV_Cable_Datasheet.pdf; conservative max OD used for screening</t>
  </si>
  <si>
    <t>PV-BK-6</t>
  </si>
  <si>
    <t>PV-BK-10</t>
  </si>
  <si>
    <t>PV-BK-16</t>
  </si>
  <si>
    <t>Owner Vendor List Verification &amp; Reference Datasheet Register</t>
  </si>
  <si>
    <t>Category</t>
  </si>
  <si>
    <t>Brands in attachment</t>
  </si>
  <si>
    <t>Reference brand</t>
  </si>
  <si>
    <t>Reference model/document</t>
  </si>
  <si>
    <t>Local file</t>
  </si>
  <si>
    <t>Official source</t>
  </si>
  <si>
    <t>Review status</t>
  </si>
  <si>
    <t>Design/procurement note</t>
  </si>
  <si>
    <t>PV Mounting Structure</t>
  </si>
  <si>
    <t>Goomax; Chiko; Reddot; Sunforson</t>
  </si>
  <si>
    <t>Chiko</t>
  </si>
  <si>
    <t>7Rail</t>
  </si>
  <si>
    <t>Datasheet/Vendor_Reference/CHIKO_7Rail_Data_Sheet.pdf</t>
  </si>
  <si>
    <t>https://www.chikolar.com/</t>
  </si>
  <si>
    <t>REFERENCE SCREENED</t>
  </si>
  <si>
    <t>Exact roof interface, wind load and structural calculation remain project-specific</t>
  </si>
  <si>
    <t>PV MDB Panel</t>
  </si>
  <si>
    <t>Precise; Mitsubishi; CPT; Asefa; PMK; Sangchai</t>
  </si>
  <si>
    <t>—</t>
  </si>
  <si>
    <t>GAP</t>
  </si>
  <si>
    <t>Need exact assembly datasheet, IEC 61439 evidence, Icw/Icc, IP, form, busbar and SLD</t>
  </si>
  <si>
    <t>Weather Sensor</t>
  </si>
  <si>
    <t>Kipp &amp; Zonen; Hukseflux; Rika; Ingenieurburo</t>
  </si>
  <si>
    <t>Kipp &amp; Zonen</t>
  </si>
  <si>
    <t>SMP10x/SMP22x</t>
  </si>
  <si>
    <t>Datasheet/Vendor_Reference/KippZonen_SMP10x_SMP22x_Datasheet_2025.pdf</t>
  </si>
  <si>
    <t>https://www.kippzonen.com/</t>
  </si>
  <si>
    <t>Select sensor class, output, heating and logger compatibility</t>
  </si>
  <si>
    <t>Protective Relay</t>
  </si>
  <si>
    <t>Schneider; Siemens; ABB</t>
  </si>
  <si>
    <t>Schneider</t>
  </si>
  <si>
    <t>PowerLogic P3</t>
  </si>
  <si>
    <t>Datasheet/Vendor_Reference/Schneider_PowerLogic_P3_Catalog_2024.pdf</t>
  </si>
  <si>
    <t>https://www.se.com/</t>
  </si>
  <si>
    <t>Utility protection functions/settings and CT/VT inputs TBC</t>
  </si>
  <si>
    <t>Power Meter</t>
  </si>
  <si>
    <t>Janitza; Schneider; ISKRA</t>
  </si>
  <si>
    <t>PowerLogic PM5000</t>
  </si>
  <si>
    <t>Datasheet/Vendor_Reference/Schneider_PM5000_Technical_Datasheet.pdf</t>
  </si>
  <si>
    <t>https://www.se.com/in/en/download/document/29364262/</t>
  </si>
  <si>
    <t>Choose exact PM5xxx model, accuracy class, CT input and protocol</t>
  </si>
  <si>
    <t>Revenue Meter</t>
  </si>
  <si>
    <t>EDMI; Landis &amp; Gyr</t>
  </si>
  <si>
    <t>EDMI</t>
  </si>
  <si>
    <t>Mk10E</t>
  </si>
  <si>
    <t>Datasheet/Vendor_Reference/EDMI_Mk10E_Factsheet_Rev02_2025.pdf</t>
  </si>
  <si>
    <t>https://www.edmi-meters.com/</t>
  </si>
  <si>
    <t>Final model and utility approval mandatory</t>
  </si>
  <si>
    <t>PV Connector</t>
  </si>
  <si>
    <t>Stäubli (MC)</t>
  </si>
  <si>
    <t>Stäubli</t>
  </si>
  <si>
    <t>MC4-Evo 2</t>
  </si>
  <si>
    <t>Datasheet/Vendor_Reference/Staubli_MC4-Evo2_Cable_Coupler.pdf</t>
  </si>
  <si>
    <t>https://www.staubli.com/</t>
  </si>
  <si>
    <t>Do not cross-mate unlike brands/models; verify cable OD, crimp tool and certification</t>
  </si>
  <si>
    <t>PV Cable</t>
  </si>
  <si>
    <t>Thai Wonderful; Phelps Dodge; Prysmian; Bangkok Cable</t>
  </si>
  <si>
    <t>Phelps Dodge / Bangkok Cable</t>
  </si>
  <si>
    <t>Phelps_Dodge_PV_Cable_H1Z2Z2-K_Datasheet.pdf; Bangkok_Cable_H1Z2Z2-K_PV_Cable_Datasheet.pdf</t>
  </si>
  <si>
    <t>https://www.pdcable.com/; https://www.bangkokcable.com/</t>
  </si>
  <si>
    <t>SOURCE TRANSFERRED</t>
  </si>
  <si>
    <t>OD master below is the linked design input for the new containment views; confirm exact project product code before IFC.</t>
  </si>
  <si>
    <t>AC Cable</t>
  </si>
  <si>
    <t>Bangkok Cable; Thai Yazaki; Phelps Dodge</t>
  </si>
  <si>
    <t>CV / CV-FD family</t>
  </si>
  <si>
    <t>Datasheet/Vendor_Reference/Phelps_Dodge_LV_Power_Control_Cables.pdf</t>
  </si>
  <si>
    <t>https://www.pdcable.com/product/cv-fd-1/</t>
  </si>
  <si>
    <t>Exact FD-CV construction, cores, OD, fire certificate and current rating TBC</t>
  </si>
  <si>
    <t>Communication Cable</t>
  </si>
  <si>
    <t>LINK; Belden</t>
  </si>
  <si>
    <t>Belden</t>
  </si>
  <si>
    <t>3106A RS-485</t>
  </si>
  <si>
    <t>Datasheet/Vendor_Reference/Belden_3106A_RS485_TechData.pdf</t>
  </si>
  <si>
    <t>https://www.belden.com/</t>
  </si>
  <si>
    <t>Confirm protocol, shield grounding, UV/LSZH/fire requirements and separation</t>
  </si>
  <si>
    <t>Transformer</t>
  </si>
  <si>
    <t>QTC; Charoenchai; Tirathai; Ekarat</t>
  </si>
  <si>
    <t>QTC</t>
  </si>
  <si>
    <t>Oil/dry type family</t>
  </si>
  <si>
    <t>https://qtc-energy.com/transformer-bu/</t>
  </si>
  <si>
    <t>WEB REFERENCE ONLY</t>
  </si>
  <si>
    <t>Need project kVA, HV/LV, vector group, impedance, loss class, enclosure and utility approval</t>
  </si>
  <si>
    <t>Circuit Breaker</t>
  </si>
  <si>
    <t>Schneider; Siemens; ABB; Mitsubishi; Fuji</t>
  </si>
  <si>
    <t>ComPacT NSX</t>
  </si>
  <si>
    <t>Datasheet/Vendor_Reference/Schneider_ComPacT_NSX_Catalog.pdf</t>
  </si>
  <si>
    <t>Select exact frame/trip unit, Icu/Ics, DC suitability and coordination</t>
  </si>
  <si>
    <t>Water Pump</t>
  </si>
  <si>
    <t>Ebara; Mitsubishi; Grundfos</t>
  </si>
  <si>
    <t>Grundfos</t>
  </si>
  <si>
    <t>CR/CRI/CRN</t>
  </si>
  <si>
    <t>Datasheet/Vendor_Reference/Grundfos_CR_CRI_CRN_Data_Booklet.pdf</t>
  </si>
  <si>
    <t>https://www.grundfos.com/</t>
  </si>
  <si>
    <t>Hydraulic duty, water quality, motor voltage and control TBC</t>
  </si>
  <si>
    <t>PV Module (additional)</t>
  </si>
  <si>
    <t>Not listed in attachment</t>
  </si>
  <si>
    <t>LONGi</t>
  </si>
  <si>
    <t>Hi-MO 9 HydroClear LR8-66HYD</t>
  </si>
  <si>
    <t>Datasheet/Vendor_Reference/LONGi_Hi-MO9_HydroClear_LR8-66HYD_635-670M_2026.pdf</t>
  </si>
  <si>
    <t>https://www.longi.com/</t>
  </si>
  <si>
    <t>OUTSIDE VENDOR LIST</t>
  </si>
  <si>
    <t>Reference only; owner/vendor approval and project string design required</t>
  </si>
  <si>
    <t>PV Inverter (additional)</t>
  </si>
  <si>
    <t>Sungrow</t>
  </si>
  <si>
    <t>SG125CX-P2</t>
  </si>
  <si>
    <t>Datasheet/Vendor_Reference/Sungrow_SG125CX-P2_Datasheet_V12.pdf</t>
  </si>
  <si>
    <t>https://www.sungrowpower.com/</t>
  </si>
  <si>
    <t>Reference only; utility grid code, MPPT/string limits and protection settings required</t>
  </si>
  <si>
    <t>Jinko PV Module Datasheet | Selected 725 Wp reference from Workspace</t>
  </si>
  <si>
    <t>Parameter</t>
  </si>
  <si>
    <t>Value</t>
  </si>
  <si>
    <t>Unit</t>
  </si>
  <si>
    <t>Source / engineering note</t>
  </si>
  <si>
    <t>Jinko Solar</t>
  </si>
  <si>
    <t>Workspace datasheet</t>
  </si>
  <si>
    <t>Model</t>
  </si>
  <si>
    <t>JKM700-725N-66HL5-BDV-Z2C2-OC</t>
  </si>
  <si>
    <t>Selected Pmax</t>
  </si>
  <si>
    <t>Wp</t>
  </si>
  <si>
    <t>Use 725 Wp STC row</t>
  </si>
  <si>
    <t>Vmp at STC</t>
  </si>
  <si>
    <t>V</t>
  </si>
  <si>
    <t>Imp at STC</t>
  </si>
  <si>
    <t>A</t>
  </si>
  <si>
    <t>Voc at STC</t>
  </si>
  <si>
    <t>Isc at STC</t>
  </si>
  <si>
    <t>Max system voltage</t>
  </si>
  <si>
    <t>V DC</t>
  </si>
  <si>
    <t>Max series fuse</t>
  </si>
  <si>
    <t>Minimum cell temperature used in design screens</t>
  </si>
  <si>
    <t>°C</t>
  </si>
  <si>
    <t>Project design input; verify inverter/system design</t>
  </si>
  <si>
    <t>Source file</t>
  </si>
  <si>
    <t>3.2.panel_datasheet_JKM700-725N-66HL5-BDV-Z2C2-OC.pdf</t>
  </si>
  <si>
    <t>Workspace file; verify controlled revision before IFC</t>
  </si>
  <si>
    <t>Thermal / Ampacity Check - Separate from Physical Fill</t>
  </si>
  <si>
    <t>Three simulated examples are populated below. Base ampacity is taken from the local PV cable datasheet working data; factors are explicit inputs and must be replaced by the project installation calculation.</t>
  </si>
  <si>
    <t>Circuit ID</t>
  </si>
  <si>
    <t>Cable model / size</t>
  </si>
  <si>
    <t>Design current (A)</t>
  </si>
  <si>
    <t>Base ampacity (A)</t>
  </si>
  <si>
    <t>Ambient factor</t>
  </si>
  <si>
    <t>Grouping factor</t>
  </si>
  <si>
    <t>Other factor</t>
  </si>
  <si>
    <t>Adjusted ampacity (A)</t>
  </si>
  <si>
    <t>Result</t>
  </si>
  <si>
    <t>Ampacity table source</t>
  </si>
  <si>
    <t>Installation method</t>
  </si>
  <si>
    <t>CIR-EX-001</t>
  </si>
  <si>
    <t>Phelps Dodge H1Z2Z2-K 4 mm²</t>
  </si>
  <si>
    <t>Phelps_Dodge_PV_Cable_H1Z2Z2-K_Datasheet.pdf</t>
  </si>
  <si>
    <t>wireway / ventilated</t>
  </si>
  <si>
    <t>Example 1; replace with project method</t>
  </si>
  <si>
    <t>CIR-EX-002</t>
  </si>
  <si>
    <t>Phelps Dodge H1Z2Z2-K 6 mm²</t>
  </si>
  <si>
    <t>Example 2; replace with project method</t>
  </si>
  <si>
    <t>CIR-EX-003</t>
  </si>
  <si>
    <t>Bangkok Cable H1Z2Z2-K 16 mm²</t>
  </si>
  <si>
    <t>Bangkok_Cable_H1Z2Z2-K_PV_Cable_Datasheet.pdf</t>
  </si>
  <si>
    <t>Example 3 intentionally demonstrates CHECK</t>
  </si>
  <si>
    <t>CIR-004</t>
  </si>
  <si>
    <t>CIR-005</t>
  </si>
  <si>
    <t>CIR-006</t>
  </si>
  <si>
    <t>CIR-007</t>
  </si>
  <si>
    <t>CIR-008</t>
  </si>
  <si>
    <t>CIR-009</t>
  </si>
  <si>
    <t>CIR-010</t>
  </si>
  <si>
    <t>CIR-011</t>
  </si>
  <si>
    <t>CIR-012</t>
  </si>
  <si>
    <t>CIR-013</t>
  </si>
  <si>
    <t>CIR-014</t>
  </si>
  <si>
    <t>CIR-015</t>
  </si>
  <si>
    <t>CIR-016</t>
  </si>
  <si>
    <t>CIR-017</t>
  </si>
  <si>
    <t>CIR-018</t>
  </si>
  <si>
    <t>CIR-019</t>
  </si>
  <si>
    <t>CIR-020</t>
  </si>
  <si>
    <t>*ตรวจสอบ Spec. สายไฟว่าเพียงพอหรือไม่</t>
  </si>
  <si>
    <t>Maximum Cable Count in Panasonic IMC - EIT Physical Fill Screening</t>
  </si>
  <si>
    <t>Rev.4: IMC fill screening is governed by the number of cable pieces (Qty). Cores/cable is informational only. The left matrix gives maximum Qty by IMC size; the right matrix uses that left Qty to show total fill %. Actual certified IMC ID is required before IFC.</t>
  </si>
  <si>
    <t>วสท. 022001-22 ตาราง 5-3: 1 เส้น 53%, 2 เส้น 31%, 3 เส้นขึ้นไป 40%. ตารางนี้แสดงจำนวนสาย/เคเบิลเป็นชิ้น ไม่ใช่จำนวนวงจร และยังไม่รวม ampacity/grouping/bending/pulling checks</t>
  </si>
  <si>
    <t>IMC internal ID เป็น screening = Panasonic catalogue OD - 2 x minimum wall thickness; ต้องเปลี่ยนเป็น actual certified ID ก่อน issue design. ค่า 0 = ใส่ไม่ได้ตาม physical fill ของท่อขนาดนั้น</t>
  </si>
  <si>
    <t>Qty 1 = 53%, Qty 2 = 31%, Qty 3 or more = 40%</t>
  </si>
  <si>
    <t>Panasonic IMC trade size</t>
  </si>
  <si>
    <t>1/2 in</t>
  </si>
  <si>
    <t>3/4 in</t>
  </si>
  <si>
    <t>1 in</t>
  </si>
  <si>
    <t>1-1/4 in</t>
  </si>
  <si>
    <t>1-1/2 in</t>
  </si>
  <si>
    <t>2 in</t>
  </si>
  <si>
    <t>2-1/2 in</t>
  </si>
  <si>
    <t>3 in</t>
  </si>
  <si>
    <t>3-1/2 in</t>
  </si>
  <si>
    <t>4 in</t>
  </si>
  <si>
    <t>Added comparison: total fill at the maximum Qty from the left matrix</t>
  </si>
  <si>
    <t>Screening internal ID (mm)</t>
  </si>
  <si>
    <t>Formula = left-table Qty × cable area / IMC internal area. This is the full fill percentage for the Qty shown in the left table, not a one-cable ratio.</t>
  </si>
  <si>
    <t>Internal area (mm²)</t>
  </si>
  <si>
    <t>System</t>
  </si>
  <si>
    <t>Cable family</t>
  </si>
  <si>
    <t>Cores / cable (info.)</t>
  </si>
  <si>
    <t>CSA mm²</t>
  </si>
  <si>
    <t>OD mm</t>
  </si>
  <si>
    <t>Cable area mm²</t>
  </si>
  <si>
    <t>Cable / row</t>
  </si>
  <si>
    <t>PV</t>
  </si>
  <si>
    <t>Phelps Dodge H1Z2Z2-K 10 mm²</t>
  </si>
  <si>
    <t>Phelps Dodge H1Z2Z2-K 16 mm²</t>
  </si>
  <si>
    <t>AC</t>
  </si>
  <si>
    <t>Phelps Dodge CV/CV-FD-1C | 25 mm²</t>
  </si>
  <si>
    <t>Phelps Dodge CV/CV-FD-1C | 35 mm²</t>
  </si>
  <si>
    <t>Phelps Dodge CV/CV-FD-1C | 50 mm²</t>
  </si>
  <si>
    <t>Phelps Dodge CV/CV-FD-1C | 70 mm²</t>
  </si>
  <si>
    <t>Phelps Dodge CV/CV-FD-1C | 95 mm²</t>
  </si>
  <si>
    <t>Phelps Dodge CV/CV-FD-1C | 120 mm²</t>
  </si>
  <si>
    <t>Phelps Dodge CV/CV-FD-1C | 150 mm²</t>
  </si>
  <si>
    <t>Phelps Dodge CV/CV-FD-1C | 185 mm²</t>
  </si>
  <si>
    <t>Phelps Dodge CV/CV-FD-1C | 240 mm²</t>
  </si>
  <si>
    <t>Phelps Dodge CV/CV-FD-1C | 300 mm²</t>
  </si>
  <si>
    <t>Phelps Dodge CV/CV-FD-1C | 400 mm²</t>
  </si>
  <si>
    <t>Phelps Dodge CV/CV-FD-1C | 500 mm²</t>
  </si>
  <si>
    <t>Phelps Dodge CV/CV-FD-1C | 630 mm²</t>
  </si>
  <si>
    <t>Phelps Dodge CV/CV-FD-2C | 10 mm²</t>
  </si>
  <si>
    <t>Phelps Dodge CV/CV-FD-2C | 16 mm²</t>
  </si>
  <si>
    <t>Phelps Dodge CV/CV-FD-2C | 25 mm²</t>
  </si>
  <si>
    <t>Phelps Dodge CV/CV-FD-2C | 35 mm²</t>
  </si>
  <si>
    <t>Phelps Dodge CV/CV-FD-2C | 50 mm²</t>
  </si>
  <si>
    <t>Phelps Dodge CV/CV-FD-2C | 70 mm²</t>
  </si>
  <si>
    <t>Phelps Dodge CV/CV-FD-2C | 95 mm²</t>
  </si>
  <si>
    <t>Phelps Dodge CV/CV-FD-2C | 120 mm²</t>
  </si>
  <si>
    <t>Phelps Dodge CV/CV-FD-2C | 150 mm²</t>
  </si>
  <si>
    <t>Phelps Dodge CV/CV-FD-2C | 185 mm²</t>
  </si>
  <si>
    <t>Phelps Dodge CV/CV-FD-2C | 240 mm²</t>
  </si>
  <si>
    <t>Phelps Dodge CV/CV-FD-2C | 300 mm²</t>
  </si>
  <si>
    <t>Phelps Dodge CV/CV-FD-2C | 400 mm²</t>
  </si>
  <si>
    <t>Phelps Dodge CV/CV-FD-3C | 10 mm²</t>
  </si>
  <si>
    <t>Phelps Dodge CV/CV-FD-3C | 16 mm²</t>
  </si>
  <si>
    <t>Phelps Dodge CV/CV-FD-3C | 25 mm²</t>
  </si>
  <si>
    <t>Phelps Dodge CV/CV-FD-3C | 35 mm²</t>
  </si>
  <si>
    <t>Phelps Dodge CV/CV-FD-3C | 50 mm²</t>
  </si>
  <si>
    <t>Phelps Dodge CV/CV-FD-3C | 70 mm²</t>
  </si>
  <si>
    <t>Phelps Dodge CV/CV-FD-3C | 95 mm²</t>
  </si>
  <si>
    <t>Phelps Dodge CV/CV-FD-3C | 120 mm²</t>
  </si>
  <si>
    <t>Phelps Dodge CV/CV-FD-3C | 150 mm²</t>
  </si>
  <si>
    <t>Phelps Dodge CV/CV-FD-3C | 185 mm²</t>
  </si>
  <si>
    <t>Phelps Dodge CV/CV-FD-3C | 240 mm²</t>
  </si>
  <si>
    <t>Phelps Dodge CV/CV-FD-3C | 300 mm²</t>
  </si>
  <si>
    <t>Phelps Dodge CV/CV-FD-3C | 400 mm²</t>
  </si>
  <si>
    <t>Phelps Dodge CV/CV-FD-4C | 10 mm²</t>
  </si>
  <si>
    <t>Phelps Dodge CV/CV-FD-4C | 16 mm²</t>
  </si>
  <si>
    <t>Phelps Dodge CV/CV-FD-4C | 25 mm²</t>
  </si>
  <si>
    <t>Phelps Dodge CV/CV-FD-4C | 35 mm²</t>
  </si>
  <si>
    <t>Phelps Dodge CV/CV-FD-4C | 50 mm²</t>
  </si>
  <si>
    <t>Phelps Dodge CV/CV-FD-4C | 70 mm²</t>
  </si>
  <si>
    <t>Phelps Dodge CV/CV-FD-4C | 95 mm²</t>
  </si>
  <si>
    <t>Phelps Dodge CV/CV-FD-4C | 120 mm²</t>
  </si>
  <si>
    <t>Phelps Dodge CV/CV-FD-4C | 150 mm²</t>
  </si>
  <si>
    <t>Phelps Dodge CV/CV-FD-4C | 185 mm²</t>
  </si>
  <si>
    <t>Phelps Dodge CV/CV-FD-4C | 240 mm²</t>
  </si>
  <si>
    <t>Phelps Dodge CV/CV-FD-4C | 300 mm²</t>
  </si>
  <si>
    <t>Phelps Dodge CV/CV-FD-4C | 400 mm²</t>
  </si>
  <si>
    <t>User-entry IMC cable mix | total cable area vs WST fill condition</t>
  </si>
  <si>
    <t>Enter cable type/CSA/OD/Qty per row. WST allowed fill uses TOTAL Qty in the mix: Qty 1 = 53%, Qty 2 = 31%, Qty 3 or more = 40%. Cores/cable is informational only.</t>
  </si>
  <si>
    <t>Line</t>
  </si>
  <si>
    <t>Cable type / model</t>
  </si>
  <si>
    <t>OD (mm)</t>
  </si>
  <si>
    <t>Qty</t>
  </si>
  <si>
    <t>Area / cable (mm²)</t>
  </si>
  <si>
    <t>Total cable area (mm²)</t>
  </si>
  <si>
    <t>IMC trade size</t>
  </si>
  <si>
    <t>IMC internal area (mm²)</t>
  </si>
  <si>
    <t>WST allowed fill (total Qty)</t>
  </si>
  <si>
    <t>Fill % = total cable area / conduit area</t>
  </si>
  <si>
    <t>WST match</t>
  </si>
  <si>
    <t>Engineering result</t>
  </si>
  <si>
    <t>Engineering note</t>
  </si>
  <si>
    <t>USER-001</t>
  </si>
  <si>
    <t>Example; total Qty rule; confirm exact OD and certified IMC ID</t>
  </si>
  <si>
    <t>USER-002</t>
  </si>
  <si>
    <t>USER-003</t>
  </si>
  <si>
    <t>USER-004</t>
  </si>
  <si>
    <t>Example; cores/cable shown only for information</t>
  </si>
  <si>
    <t>USER-005</t>
  </si>
  <si>
    <t>Free user-entry row; total Qty rule applies</t>
  </si>
  <si>
    <t>TOTAL ENTERED MIX</t>
  </si>
  <si>
    <t>SEE SUMMARY BELOW</t>
  </si>
  <si>
    <t>กำหนดจากขนาดราง Wireway และดู MAX</t>
  </si>
  <si>
    <t>IMC selection recommendation | linked to TOTAL Qty and TOTAL cable area above</t>
  </si>
  <si>
    <t>The summary checks one common IMC for the entire entered mix. If no single IMC passes, the parallel-conduit column gives the minimum number of equal conduits using the same Qty-based WST fill rule.</t>
  </si>
  <si>
    <t>Total Qty</t>
  </si>
  <si>
    <t>Qty-based WST fill</t>
  </si>
  <si>
    <t>Minimum internal area required (mm²)</t>
  </si>
  <si>
    <t>Recommended single IMC</t>
  </si>
  <si>
    <t>Single fill %</t>
  </si>
  <si>
    <t>Single result</t>
  </si>
  <si>
    <t>Recommendation</t>
  </si>
  <si>
    <t>WST allowed fill</t>
  </si>
  <si>
    <t>Single status</t>
  </si>
  <si>
    <t>Minimum parallel conduits</t>
  </si>
  <si>
    <t>Fill / conduit</t>
  </si>
  <si>
    <t>Recommendation if parallel</t>
  </si>
  <si>
    <t>Maximum Single-Layer Cable Count on KJL Ladder - EIT Eligibility Screening</t>
  </si>
  <si>
    <t>วสท. 022001-22 ข้อ 5.15: วางชั้นเดียว/trefoil; สาย 1C มีเปลือกต้องไม่น้อยกว่า 25 mm²; multicore ใช้ได้ตามเงื่อนไข. จำนวนคำนวณจาก W &gt;= 1.25 x ΣD (25% reserve) และ nominal KJL width</t>
  </si>
  <si>
    <t>PV 1C 4/6 mm² และ AC 1C 10/16 mm² = NOT PERMITTED DIRECT จึงแสดง 0. ผลอื่นเป็น physical screening; ต้องใช้ usable width จริง, cable cleat/divider, bending, short-circuit forces และ grouping factor ตาราง 5-40/5-41</t>
  </si>
  <si>
    <t>Nominal ladder width (mm) - replace with usable width</t>
  </si>
  <si>
    <t>Added comparison: left-table maximum Qty × cable OD / ladder width</t>
  </si>
  <si>
    <t>Cores</t>
  </si>
  <si>
    <t>Direct-on-ladder eligibility</t>
  </si>
  <si>
    <t>200 mm</t>
  </si>
  <si>
    <t>300 mm</t>
  </si>
  <si>
    <t>400 mm</t>
  </si>
  <si>
    <t>500 mm</t>
  </si>
  <si>
    <t>600 mm</t>
  </si>
  <si>
    <t>700 mm</t>
  </si>
  <si>
    <t>800 mm</t>
  </si>
  <si>
    <t>900 mm</t>
  </si>
  <si>
    <t>1000 mm</t>
  </si>
  <si>
    <t>Phelps Dodge CV/CV-FD-1C | 10 mm²</t>
  </si>
  <si>
    <t>NOT PERMITTED DIRECT</t>
  </si>
  <si>
    <t>Phelps Dodge CV/CV-FD-1C | 16 mm²</t>
  </si>
  <si>
    <t>ALLOWED - physical screen</t>
  </si>
  <si>
    <t>User-entry ladder cable mix | EIT width screen and direct-on-ladder eligibility</t>
  </si>
  <si>
    <t>Enter each cable type/cores/CSA/OD/Qty and usable ladder width. EIT width screen is ΣD_cable ≤ 0.8W; direct-on-ladder eligibility is checked separately.</t>
  </si>
  <si>
    <t>1C &lt;25 mm² is not permitted direct; protected route required</t>
  </si>
  <si>
    <t>0.8W</t>
  </si>
  <si>
    <t>Usable ladder width (mm)</t>
  </si>
  <si>
    <t>ΣD cable (mm)</t>
  </si>
  <si>
    <t>0.8W limit (mm)</t>
  </si>
  <si>
    <t>Width utilization %</t>
  </si>
  <si>
    <t>EIT width match</t>
  </si>
  <si>
    <t>USER-AC-001</t>
  </si>
  <si>
    <t>Allowed cable example; verify cleat/support and actual usable width</t>
  </si>
  <si>
    <t>USER-AC-002</t>
  </si>
  <si>
    <t>USER-AC-003</t>
  </si>
  <si>
    <t>Multicore example; verify cable arrangement and support</t>
  </si>
  <si>
    <t>USER-AC-004</t>
  </si>
  <si>
    <t>USER-AC-005</t>
  </si>
  <si>
    <t>Width intentionally above 0.8W to demonstrate CHECK</t>
  </si>
  <si>
    <t>PV Ladder + Cable Tray Summary | Jinko 725 Wp containment reference | OD linked to Vendor Register</t>
  </si>
  <si>
    <t>Combined view: ladder section and cable-tray section are both on this sheet. PV cable sizes 4/6/10/16 mm² use linked OD values from Vendor Register.</t>
  </si>
  <si>
    <t>วสท. 022001-22 ข้อ 5.15: สายแกนเดียวมีเปลือกที่วางตรงบน cable ladder ต้องมีขนาดตัวนำไม่น้อยกว่า 25 mm² ดังนั้น PV H1Z2Z2-K 4/6 mm² มีจำนวนที่อนุญาตให้วางตรง = 0 ทุกความกว้าง</t>
  </si>
  <si>
    <t>For cable tray/ladder, do not treat the wireway 20% rule as direct permission. Confirm cable eligibility, usable width, support/load and the additional ΣD_cable ≤0.8W screen.</t>
  </si>
  <si>
    <t>แถว THEORETICAL PHYSICAL ONLY คำนวณจาก N = floor(W_nominal / (1.25 x OD)) เพื่อประเมินพื้นที่เท่านั้น ไม่ทำให้การวางตรงเป็นไปตาม วสท.; แนวทางใช้งานคือเดิน PV ใน IMC/ช่องเดินสายปิดที่เหมาะสม แล้วรองรับท่อบน ladder ตาม shop drawing และน้ำหนักบรรทุก</t>
  </si>
  <si>
    <t>PV 1C Cable on Cable Ladder | EIT eligibility and physical screening</t>
  </si>
  <si>
    <t>Nominal ladder width (mm) - replace with actual usable width</t>
  </si>
  <si>
    <t>EIT working rule: PV single-core cable smaller than 25 mm² is not shown as direct-on-ladder. The theoretical count below is physical-only and not a direct installation permission.</t>
  </si>
  <si>
    <t>OD max mm</t>
  </si>
  <si>
    <t>Count type</t>
  </si>
  <si>
    <t>Theoretical physical-only count uses N = floor(Wusable / (1.25 × OD)). Replace nominal/assumed width with confirmed usable width before design.</t>
  </si>
  <si>
    <t>DIRECT ALLOWABLE</t>
  </si>
  <si>
    <t>Nominal width (mm) — replace with confirmed usable width</t>
  </si>
  <si>
    <t>PV cable</t>
  </si>
  <si>
    <t>OD linked mm</t>
  </si>
  <si>
    <t>Direct eligibility</t>
  </si>
  <si>
    <t>Phelps Dodge H1Z2Z2-K</t>
  </si>
  <si>
    <t>DIRECT COUNT = 0</t>
  </si>
  <si>
    <t>THEORETICAL PHYSICAL ONLY</t>
  </si>
  <si>
    <t>PV 1C Cable on Cable Tray | EIT eligibility and physical screening</t>
  </si>
  <si>
    <t>EIT working rule: do not substitute wireway 20% fill for tray. Apply cable type eligibility, usable width, support/load and the additional ΣD_cable ≤0.8W width screen.</t>
  </si>
  <si>
    <t>Ladder | PV Cable Linked OD and Physical Screening</t>
  </si>
  <si>
    <t>PV single-core cables below 25 mm² are shown as NOT PERMITTED DIRECT on ladder under the current EIT working rule. The count is theoretical physical screening only; use protected route/closed channel and confirm shop drawing.</t>
  </si>
  <si>
    <t>OD linked (mm)</t>
  </si>
  <si>
    <t>Width basis (mm)</t>
  </si>
  <si>
    <t>Theoretical / width max qty</t>
  </si>
  <si>
    <t>Width used at max (mm)</t>
  </si>
  <si>
    <t>Width occupancy</t>
  </si>
  <si>
    <t>Change the width basis in E5:E8 to the actual usable ladder width. Do not treat theoretical count as direct-on-ladder permission for PV 4/6/10/16 mm².</t>
  </si>
  <si>
    <t>Cable Tray | PV Cable Linked OD and 0.8W Width Screening</t>
  </si>
  <si>
    <t>Cable tray does not use the wireway 20% rule as a direct substitute. This view applies the requested extra width screen ΣD_cable ≤0.8W; confirm tray construction, usable width, support span and cable arrangement.</t>
  </si>
  <si>
    <t>Change the width basis in E5:E8 to the actual usable tray width. The 0.8W condition is a width arrangement screen and must be checked with actual cable grouping and support design.</t>
  </si>
  <si>
    <t>PV 1C Cable in Wireway | EIT 20% Fill + requested ΣD_cable ≤0.8W screen</t>
  </si>
  <si>
    <t>Rule basis: wireway cable area ≤20% of internal W×H. The extra width screen ΣD_cable ≤0.8W is shown separately and is not a replacement for the 20% area rule. OD values are linked to Vendor Register.</t>
  </si>
  <si>
    <t>วสท. 022001-22 ข้อ 5.12: ช่วงปกติ พื้นที่หน้าตัดรวมของสายรวมฉนวนต้องไม่เกิน 20% ของพื้นที่ภายใน wireway; ตารางนี้ใช้ internal W x H ตัวอย่างและ OD สูงสุดของ Prysmian PRYSUN</t>
  </si>
  <si>
    <t>CCC &gt;30 is a grouping/ampacity HOLD POINT. Confirm actual internal dimensions, cable OD, installation method, connector space, bending radius and support before final design.</t>
  </si>
  <si>
    <t>จุดต่อ/แยกที่เปิดตรวจได้อาจใช้เกณฑ์รวมสายและ connector ไม่เกิน 75% แต่ไม่ได้ใช้ในตารางนี้. ค่าเกิน 30 current-carrying conductors ไม่ใช่ข้อห้ามด้านพื้นที่ แต่เป็น HOLD POINT สำหรับ grouping/ampacity derating</t>
  </si>
  <si>
    <t>Example internal size</t>
  </si>
  <si>
    <t>W int. (mm)</t>
  </si>
  <si>
    <t>H int. (mm)</t>
  </si>
  <si>
    <t>4 mm² max qty</t>
  </si>
  <si>
    <t>6 mm² max qty</t>
  </si>
  <si>
    <t>10 mm² max qty</t>
  </si>
  <si>
    <t>16 mm² max qty</t>
  </si>
  <si>
    <t>CCC checkpoint</t>
  </si>
  <si>
    <t>Engineering status</t>
  </si>
  <si>
    <t>50 x 50 mm</t>
  </si>
  <si>
    <t>75 x 75 mm</t>
  </si>
  <si>
    <t>100 x 50 mm</t>
  </si>
  <si>
    <t>100 x 100 mm</t>
  </si>
  <si>
    <t>150 x 100 mm</t>
  </si>
  <si>
    <t>150 x 150 mm</t>
  </si>
  <si>
    <t>200 x 100 mm</t>
  </si>
  <si>
    <t>200 x 150 mm</t>
  </si>
  <si>
    <t>200 x 200 mm</t>
  </si>
  <si>
    <t>Fill ขนาดราง / ขนาดสาย / จำนวนสาย</t>
  </si>
  <si>
    <t>PV Wireway detail | area fill and additional 0.8W width condition</t>
  </si>
  <si>
    <t>Each row can be changed for a project scenario. Area fill = Qty × πOD²/4 ÷ (W×H). Width utilization = Qty × OD ÷ W. Combined result requires both limits.</t>
  </si>
  <si>
    <t>Scenario</t>
  </si>
  <si>
    <t>Cable size (mm²)</t>
  </si>
  <si>
    <t>Qty input</t>
  </si>
  <si>
    <t>Area fill %</t>
  </si>
  <si>
    <t>20% fill result</t>
  </si>
  <si>
    <t>Combined result</t>
  </si>
  <si>
    <t>PV-WW-001</t>
  </si>
  <si>
    <t>PV-WW-002</t>
  </si>
  <si>
    <t>PV-WW-003</t>
  </si>
  <si>
    <t>PV-WW-004</t>
  </si>
  <si>
    <t>PV-WW-005</t>
  </si>
  <si>
    <t>Wireway | PV Cable Linked OD, 20% Area Fill and 0.8W Width Screen</t>
  </si>
  <si>
    <t>Yellow cells are project dimensions and selected quantity. OD is linked to Vendor Register. PASS requires both wireway fill ≤20% and the additional width screen ΣD_cable ≤0.8W; CCC/grouping and thermal checks remain separate.</t>
  </si>
  <si>
    <t>Input</t>
  </si>
  <si>
    <t>W internal (mm)</t>
  </si>
  <si>
    <t>H internal (mm)</t>
  </si>
  <si>
    <t>Area fill limit</t>
  </si>
  <si>
    <t>Width factor</t>
  </si>
  <si>
    <t>Max qty @20% area</t>
  </si>
  <si>
    <t>Max String @20% area</t>
  </si>
  <si>
    <t>Max qty @0.8W</t>
  </si>
  <si>
    <t>Max String @0.8W</t>
  </si>
  <si>
    <t>Selected qty</t>
  </si>
  <si>
    <t>ΣD / W %</t>
  </si>
  <si>
    <t>Combined status</t>
  </si>
  <si>
    <t>Physical Fill Calculator - Project Inputs Required</t>
  </si>
  <si>
    <t>Rev.4: select Cable type/model from the Phelps Dodge dropdown. OD is formula-linked to IMC Max Count!E10:E13. This calculator checks area fill only; no 0.8W condition is applied. Width occupied is informational.</t>
  </si>
  <si>
    <t>Yellow cells are project/manufacturer inputs. Result stays REVIEW until selected rule, limit and confirmed usable dimension are supplied.</t>
  </si>
  <si>
    <t>Cable type/model (Phelps Dodge dropdown)</t>
  </si>
  <si>
    <t>Cable OD from IMC (mm)</t>
  </si>
  <si>
    <t>Rule type (Area only)</t>
  </si>
  <si>
    <t>Width occupied (mm) — information</t>
  </si>
  <si>
    <t>Width occupancy — information</t>
  </si>
  <si>
    <t>Containment type</t>
  </si>
  <si>
    <t>Cable type/model</t>
  </si>
  <si>
    <t>Cable OD (mm)</t>
  </si>
  <si>
    <t>No. cables</t>
  </si>
  <si>
    <t>Arrangement</t>
  </si>
  <si>
    <t>Confirmed ID / usable width (mm)</t>
  </si>
  <si>
    <t>Rule type</t>
  </si>
  <si>
    <t>Allowed fill / occupancy</t>
  </si>
  <si>
    <t>Rule source</t>
  </si>
  <si>
    <t>A_used (mm2)</t>
  </si>
  <si>
    <t>A_internal (mm2)</t>
  </si>
  <si>
    <t>Physical fill %</t>
  </si>
  <si>
    <t>Width occupied (mm)</t>
  </si>
  <si>
    <t>Width occupancy %</t>
  </si>
  <si>
    <t>Thermal check status</t>
  </si>
  <si>
    <t>WW-100x100</t>
  </si>
  <si>
    <t>area fill screening</t>
  </si>
  <si>
    <t>Area</t>
  </si>
  <si>
    <t>WST 022001-22 cl.5.12 / EIT-WW-01</t>
  </si>
  <si>
    <t>PASS</t>
  </si>
  <si>
    <t>Example 1: 4 mm², 40 cables; area-only</t>
  </si>
  <si>
    <t>WW-200x100</t>
  </si>
  <si>
    <t>Example 2: 6 mm², 55 cables; area-only</t>
  </si>
  <si>
    <t>Example 3: 10 mm², 40 cables intentionally above 20%</t>
  </si>
  <si>
    <t>Source Register and Review Status</t>
  </si>
  <si>
    <t>Source ID</t>
  </si>
  <si>
    <t>Document</t>
  </si>
  <si>
    <t>Official URL</t>
  </si>
  <si>
    <t>Pages used</t>
  </si>
  <si>
    <t>SHA-256</t>
  </si>
  <si>
    <t>Status / limitation</t>
  </si>
  <si>
    <t>SRC-EIT-001</t>
  </si>
  <si>
    <t>EIT</t>
  </si>
  <si>
    <t>Electrical Installation Standard Thailand 2564 - official sample/TOC</t>
  </si>
  <si>
    <t>Standards/EIT_022001-22_2564_Official_Sample_TOC.pdf</t>
  </si>
  <si>
    <t>https://eit.or.th/api/public/file/book/66</t>
  </si>
  <si>
    <t>TOC: 5.12 wireways; 5.15 cable trays</t>
  </si>
  <si>
    <t>F97BBF385AD3F264C8D9A710B143960531EE626CD44A821E4AA2D932B7355B90</t>
  </si>
  <si>
    <t>Confirms edition and clause locations; use licensed full standard for final design.</t>
  </si>
  <si>
    <t>SRC-CAB-001</t>
  </si>
  <si>
    <t>Electrical Design &amp; Installation Guide, Revised Third Edition</t>
  </si>
  <si>
    <t>Datasheet/Bangkok_Cable_Electrical_Design_Installation_Guide.pdf</t>
  </si>
  <si>
    <t>https://www.bangkokcable.com/</t>
  </si>
  <si>
    <t>PDF 149-150, 240-242, 383-387, 431</t>
  </si>
  <si>
    <t>407AA9AAC9CC7F130B1F0DEDDB010561769EEEF85413FE22C4339D61A46960FC</t>
  </si>
  <si>
    <t>EIT-based conduit fill, tray eligibility/arrangement and screening width rule.</t>
  </si>
  <si>
    <t>SRC-CON-001</t>
  </si>
  <si>
    <t>Panasonic SPT (Thailand)</t>
  </si>
  <si>
    <t>White Conduit &amp; Conduit Fittings catalogue</t>
  </si>
  <si>
    <t>Datasheet/Panasonic_White_Conduit_Catalogue.pdf</t>
  </si>
  <si>
    <t>https://lssth.panasonic.com/download/ecm/conduit_pipe/pdf/White-Conduit.pdf</t>
  </si>
  <si>
    <t>PDF 5</t>
  </si>
  <si>
    <t>EAC580225D7CF090AAB84AB2FDFDEDE2E1095BD0BCA6678925D9743EB127D219</t>
  </si>
  <si>
    <t>OD/min wall only; calculated internal ID is screening, not certified actual ID.</t>
  </si>
  <si>
    <t>SRC-LAD-001</t>
  </si>
  <si>
    <t>KJL Catalogue 2022-2023 - KLSG Cable Ladder</t>
  </si>
  <si>
    <t>Datasheet/KJL_Catalogue_Cable_Ladder.pdf</t>
  </si>
  <si>
    <t>https://kjl.co.th/product/cable-systems/cable-ladder/</t>
  </si>
  <si>
    <t>PDF 122-125</t>
  </si>
  <si>
    <t>4EF6DB535BF779196E858254D88F2AEAAC4AE80104E1FEDEC043ACE24991DD07</t>
  </si>
  <si>
    <t>Nominal width used; confirm usable width, supports and current shop drawing.</t>
  </si>
  <si>
    <t>SRC-PV-001</t>
  </si>
  <si>
    <t>Prysmian</t>
  </si>
  <si>
    <t>PRYSUN H1Z2Z2-K datasheet</t>
  </si>
  <si>
    <t>Datasheet/Vendor_Reference/Prysmian_PRYSUN_H1Z2Z2-K_Datasheet.pdf</t>
  </si>
  <si>
    <t>https://www.prysmian.com/</t>
  </si>
  <si>
    <t>PDF 2-3</t>
  </si>
  <si>
    <t>23787892DE273577BE7AB3209300C689481AB5D273E160B0511DF07CB26DFE37</t>
  </si>
  <si>
    <t>Maximum OD used for 1C 4/6 mm² PV physical screening.</t>
  </si>
  <si>
    <t>SRC-AC-001</t>
  </si>
  <si>
    <t>Low Voltage Power and Control Cables - CV family</t>
  </si>
  <si>
    <t>PDF 11, 14, 17, 20</t>
  </si>
  <si>
    <t>01507A7209398B3D4347302A933F8CCBCB1CACC25253D96D9615992923E4338C</t>
  </si>
  <si>
    <t>Approximate CV OD used as reference; exact CV-FD code/revision OD mandatory.</t>
  </si>
  <si>
    <t>Ladder selection summary | based on total ΣD cable from the user-entry mix</t>
  </si>
  <si>
    <t>The common-width screen uses ΣD cable ≤ 0.8W. If the required width exceeds 1,000 mm, the result recommends parallel ladder routes.</t>
  </si>
  <si>
    <t>Total ΣD cable (mm)</t>
  </si>
  <si>
    <t>Required common width (mm)</t>
  </si>
  <si>
    <t>Recommended single ladder (mm)</t>
  </si>
  <si>
    <t>Single width utilization %</t>
  </si>
  <si>
    <t>Single width result</t>
  </si>
  <si>
    <t>Parallel ladders</t>
  </si>
  <si>
    <t>Width / parallel ladder (mm)</t>
  </si>
  <si>
    <t>Candidate ladder widths | single-route and parallel-route screening</t>
  </si>
  <si>
    <t>Nominal ladder width (mm)</t>
  </si>
  <si>
    <t>Single route result</t>
  </si>
  <si>
    <t>Minimum parallel ladders</t>
  </si>
  <si>
    <t>Utilization after parallel %</t>
  </si>
  <si>
    <t>Wireway size</t>
  </si>
  <si>
    <t>W (mm)</t>
  </si>
  <si>
    <t>H (mm)</t>
  </si>
  <si>
    <t>4 mm² fill %</t>
  </si>
  <si>
    <t>6 mm² fill %</t>
  </si>
  <si>
    <t>10 mm² fill %</t>
  </si>
  <si>
    <t>16 mm² fill %</t>
  </si>
  <si>
    <t>Wireway selection summary | lower-table inputs screened with ΣD cable ≤ 0.8W and 20% area fill</t>
  </si>
  <si>
    <t>This table uses the selected Qty in J35:J38, linked OD in C35:C38 and area/cable in D35:D38. It evaluates the mixed cable total against each candidate W×H size.</t>
  </si>
  <si>
    <t>Total selected Qty</t>
  </si>
  <si>
    <t>0.8W utilization %</t>
  </si>
  <si>
    <t>0.8W result</t>
  </si>
  <si>
    <t>สาย 6 จาก 6.5 -&gt; 7</t>
  </si>
  <si>
    <t xml:space="preserve">AC Cable (THW) - G 240 sq.mm. </t>
  </si>
  <si>
    <t xml:space="preserve">AC Cable (THW) - G 185 sq.mm. </t>
  </si>
  <si>
    <t xml:space="preserve">AC Cable (THW) - G 120 sq.mm. </t>
  </si>
  <si>
    <t xml:space="preserve">AC Cable (THW) - G 95 sq.mm. </t>
  </si>
  <si>
    <t xml:space="preserve">AC Cable (THW) - G 70 sq.mm. </t>
  </si>
  <si>
    <t xml:space="preserve">AC Cable (THW) - G 50 sq.mm. </t>
  </si>
  <si>
    <t xml:space="preserve">AC Cable (THW) - G 35 sq.mm. </t>
  </si>
  <si>
    <t xml:space="preserve">AC Cable (THW) - G 25 sq.mm. </t>
  </si>
  <si>
    <t xml:space="preserve">AC Cable (THW) - G 16 sq.mm. </t>
  </si>
  <si>
    <t xml:space="preserve">AC Cable (THW) - G 10 sq.mm. </t>
  </si>
  <si>
    <t xml:space="preserve">AC Cable (THW) - G 6 sq.mm.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</si>
</sst>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87" formatCode="0.0%"/>
    <numFmt numFmtId="188" formatCode="0.0"/>
    <numFmt numFmtId="189" formatCode="#,##0.0"/>
  </numFmts>
  <fonts count="53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1"/>
      <name val="Carlito"/>
    </font>
    <font>
      <b/>
      <sz val="11"/>
      <color rgb="FF9C0006"/>
      <name val="Carlito"/>
    </font>
    <font>
      <b/>
      <sz val="11"/>
      <color rgb="FF7F6000"/>
      <name val="Carlito"/>
    </font>
    <font>
      <sz val="11"/>
      <color rgb="FF9C0006"/>
      <name val="Carlito"/>
    </font>
    <font>
      <sz val="10"/>
      <name val="Carlito"/>
    </font>
    <font>
      <b/>
      <sz val="10"/>
      <color rgb="FFFFFFFF"/>
      <name val="Carlito"/>
    </font>
    <font>
      <b/>
      <sz val="10"/>
      <name val="Carlito"/>
    </font>
    <font>
      <i/>
      <sz val="9"/>
      <color rgb="FF7F6000"/>
      <name val="Carlito"/>
    </font>
    <font>
      <i/>
      <sz val="10"/>
      <color rgb="FF7F6000"/>
      <name val="Carlito"/>
    </font>
    <font>
      <b/>
      <sz val="9"/>
      <color rgb="FF9C0006"/>
      <name val="Carlito"/>
    </font>
    <font>
      <b/>
      <sz val="10"/>
      <color rgb="FF17365D"/>
      <name val="Carlito"/>
    </font>
    <font>
      <b/>
      <sz val="10"/>
      <name val="Carlito"/>
    </font>
    <font>
      <sz val="11"/>
      <color rgb="FF00B050"/>
      <name val="Carlito"/>
    </font>
    <font>
      <sz val="12"/>
      <name val="Carlito"/>
    </font>
    <font>
      <b/>
      <sz val="14"/>
      <name val="Carlito"/>
    </font>
    <font>
      <sz val="14"/>
      <name val="Carlito"/>
    </font>
    <font>
      <b/>
      <sz val="14"/>
      <color rgb="FFFFFFFF"/>
      <name val="Carlito"/>
    </font>
    <font>
      <b/>
      <sz val="12"/>
      <name val="Carlito"/>
    </font>
    <font>
      <b/>
      <sz val="11"/>
      <color rgb="FFFF0000"/>
      <name val="Carlito"/>
    </font>
    <font>
      <b/>
      <sz val="9"/>
      <color rgb="FFFF0000"/>
      <name val="Carlito"/>
    </font>
    <font>
      <b/>
      <sz val="12"/>
      <name val="Carlito"/>
    </font>
    <font>
      <b/>
      <sz val="12"/>
      <color rgb="FF7F6000"/>
      <name val="Carlito"/>
    </font>
    <font>
      <sz val="12"/>
      <color rgb="FF9C0006"/>
      <name val="Carlito"/>
    </font>
    <font>
      <b/>
      <sz val="10"/>
      <name val="Carlito"/>
    </font>
    <font>
      <b/>
      <sz val="11"/>
      <name val="Carlito"/>
    </font>
    <font>
      <b/>
      <sz val="11"/>
      <color rgb="FFFF0000"/>
      <name val="Carlito"/>
    </font>
    <font>
      <b/>
      <sz val="10"/>
      <color theme="1"/>
      <name val="Carlito"/>
    </font>
    <font>
      <sz val="9"/>
      <name val="Carlito"/>
    </font>
    <font>
      <b/>
      <i/>
      <sz val="12"/>
      <color rgb="FFFF0000"/>
      <name val="Carlito"/>
    </font>
    <font>
      <b/>
      <sz val="16"/>
      <name val="Carlito"/>
    </font>
    <font>
      <b/>
      <sz val="11"/>
      <name val="Carlito"/>
    </font>
    <font>
      <i/>
      <sz val="11"/>
      <color rgb="FF7F6000"/>
      <name val="Carlito"/>
    </font>
    <font>
      <i/>
      <sz val="12"/>
      <color rgb="FF7F6000"/>
      <name val="Carlito"/>
    </font>
    <font>
      <b/>
      <sz val="12"/>
      <color rgb="FFFFFFFF"/>
      <name val="Carlito"/>
    </font>
    <font>
      <b/>
      <sz val="12"/>
      <name val="Carlito"/>
    </font>
    <font>
      <b/>
      <sz val="11"/>
      <color rgb="FFFF0000"/>
      <name val="Carlito"/>
    </font>
    <font>
      <b/>
      <sz val="10"/>
      <name val="Carlito"/>
    </font>
    <font>
      <sz val="11"/>
      <color rgb="FFFF0000"/>
      <name val="Carlito"/>
    </font>
    <font>
      <b/>
      <sz val="10"/>
      <name val="Carlito"/>
      <charset val="222"/>
    </font>
    <font>
      <b/>
      <sz val="11"/>
      <name val="Carlito"/>
      <charset val="222"/>
    </font>
    <font>
      <b/>
      <sz val="12"/>
      <color rgb="FFFF0000"/>
      <name val="Carlito"/>
    </font>
    <font>
      <b/>
      <u/>
      <sz val="14"/>
      <name val="Carlito"/>
      <charset val="222"/>
    </font>
    <font>
      <b/>
      <u/>
      <sz val="14"/>
      <name val="Carlito"/>
    </font>
    <font>
      <b/>
      <u/>
      <sz val="12"/>
      <name val="Carlito"/>
      <charset val="222"/>
    </font>
    <font>
      <b/>
      <sz val="14"/>
      <color rgb="FFFF0000"/>
      <name val="Carlito"/>
    </font>
    <font>
      <b/>
      <sz val="12"/>
      <color rgb="FFFF0000"/>
      <name val="Carlito"/>
      <charset val="222"/>
    </font>
    <font>
      <sz val="8"/>
      <name val="Carlito"/>
    </font>
    <font>
      <sz val="12"/>
      <color rgb="FFFF0000"/>
      <name val="Carlito"/>
    </font>
    <font>
      <b/>
      <sz val="12"/>
      <name val="Carlito"/>
      <charset val="222"/>
    </font>
    <font>
      <sz val="9"/>
      <color theme="3"/>
      <name val="Calibri"/>
      <family val="2"/>
      <scheme val="minor"/>
    </font>
  </fonts>
  <fills count="57">
    <fill>
      <patternFill patternType="none"/>
    </fill>
    <fill>
      <patternFill patternType="gray125"/>
    </fill>
    <fill>
      <patternFill patternType="solid">
        <fgColor rgb="FF153B5B"/>
      </patternFill>
    </fill>
    <fill>
      <patternFill patternType="solid">
        <fgColor rgb="FF1976A3"/>
      </patternFill>
    </fill>
    <fill>
      <patternFill patternType="solid">
        <fgColor rgb="FFDCEEF7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EEF2F4"/>
      </patternFill>
    </fill>
    <fill>
      <patternFill patternType="solid">
        <fgColor rgb="FF17365D"/>
      </patternFill>
    </fill>
    <fill>
      <patternFill patternType="solid">
        <fgColor rgb="FF4472C4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D9EAF7"/>
      </patternFill>
    </fill>
    <fill>
      <patternFill patternType="solid">
        <fgColor rgb="FF17365D"/>
      </patternFill>
    </fill>
    <fill>
      <patternFill patternType="solid">
        <fgColor rgb="FF0F766E"/>
      </patternFill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FFEAF3F8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00B050"/>
      </patternFill>
    </fill>
    <fill>
      <patternFill patternType="solid">
        <fgColor rgb="FF0070C0"/>
      </patternFill>
    </fill>
    <fill>
      <patternFill patternType="solid">
        <fgColor rgb="FFFFFF00"/>
      </patternFill>
    </fill>
    <fill>
      <patternFill patternType="solid">
        <fgColor theme="9" tint="0.59990234076967686"/>
        <bgColor indexed="65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EAF3F8"/>
      </patternFill>
    </fill>
    <fill>
      <patternFill patternType="solid">
        <fgColor rgb="FF17365D"/>
      </patternFill>
    </fill>
    <fill>
      <patternFill patternType="solid">
        <fgColor rgb="FF0F766E"/>
      </patternFill>
    </fill>
    <fill>
      <patternFill patternType="solid">
        <fgColor rgb="FFFFFF00"/>
      </patternFill>
    </fill>
    <fill>
      <patternFill patternType="solid">
        <fgColor theme="9" tint="0.79992065187536243"/>
        <bgColor indexed="65"/>
      </patternFill>
    </fill>
    <fill>
      <patternFill patternType="solid">
        <fgColor rgb="FF00B0F0"/>
      </patternFill>
    </fill>
    <fill>
      <patternFill patternType="solid">
        <fgColor theme="8" tint="0.59993285927915285"/>
        <bgColor indexed="65"/>
      </patternFill>
    </fill>
    <fill>
      <patternFill patternType="solid">
        <fgColor theme="5" tint="0.79992065187536243"/>
        <bgColor indexed="65"/>
      </patternFill>
    </fill>
    <fill>
      <patternFill patternType="solid">
        <fgColor theme="6" tint="0.79992065187536243"/>
        <bgColor indexed="65"/>
      </patternFill>
    </fill>
    <fill>
      <patternFill patternType="solid">
        <fgColor rgb="FF17365D"/>
      </patternFill>
    </fill>
    <fill>
      <patternFill patternType="solid">
        <fgColor rgb="FF0F766E"/>
      </patternFill>
    </fill>
    <fill>
      <patternFill patternType="solid">
        <fgColor rgb="FFEAF3F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00A9E0"/>
      </patternFill>
    </fill>
    <fill>
      <patternFill patternType="solid">
        <fgColor rgb="FFFFFF00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9" tint="0.79995117038483843"/>
        <bgColor indexed="65"/>
      </patternFill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0F766E"/>
      </patternFill>
    </fill>
    <fill>
      <patternFill patternType="solid">
        <fgColor rgb="FFEAF3F8"/>
      </patternFill>
    </fill>
    <fill>
      <patternFill patternType="solid">
        <fgColor rgb="FFE2F0D9"/>
      </patternFill>
    </fill>
    <fill>
      <patternFill patternType="solid">
        <fgColor rgb="FFD9EAF7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rgb="FFD9E1E5"/>
      </left>
      <right style="thin">
        <color rgb="FFD9E1E5"/>
      </right>
      <top style="thin">
        <color rgb="FFD9E1E5"/>
      </top>
      <bottom style="thin">
        <color rgb="FFD9E1E5"/>
      </bottom>
      <diagonal/>
    </border>
    <border>
      <left style="thin">
        <color rgb="FFB7C9DD"/>
      </left>
      <right style="thin">
        <color rgb="FFB7C9DD"/>
      </right>
      <top style="thin">
        <color rgb="FFB7C9DD"/>
      </top>
      <bottom style="thin">
        <color rgb="FFB7C9DD"/>
      </bottom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B7C9D6"/>
      </left>
      <right/>
      <top style="thin">
        <color rgb="FFB7C9D6"/>
      </top>
      <bottom style="thin">
        <color rgb="FFB7C9D6"/>
      </bottom>
      <diagonal/>
    </border>
    <border>
      <left/>
      <right/>
      <top style="thin">
        <color rgb="FFB7C9D6"/>
      </top>
      <bottom style="thin">
        <color rgb="FFB7C9D6"/>
      </bottom>
      <diagonal/>
    </border>
    <border>
      <left/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B7C9D6"/>
      </left>
      <right/>
      <top/>
      <bottom/>
      <diagonal/>
    </border>
    <border>
      <left style="thin">
        <color rgb="FFB7C9D6"/>
      </left>
      <right style="thin">
        <color rgb="FFB7C9D6"/>
      </right>
      <top/>
      <bottom/>
      <diagonal/>
    </border>
  </borders>
  <cellStyleXfs count="2">
    <xf numFmtId="0" fontId="0" fillId="0" borderId="0"/>
    <xf numFmtId="0" fontId="52" fillId="0" borderId="0">
      <alignment vertical="center"/>
    </xf>
  </cellStyleXfs>
  <cellXfs count="233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2" fontId="0" fillId="0" borderId="1" xfId="0" applyNumberFormat="1" applyBorder="1" applyAlignment="1">
      <alignment vertical="center" wrapText="1"/>
    </xf>
    <xf numFmtId="2" fontId="0" fillId="7" borderId="1" xfId="0" applyNumberFormat="1" applyFill="1" applyBorder="1" applyAlignment="1">
      <alignment vertical="center" wrapText="1"/>
    </xf>
    <xf numFmtId="2" fontId="0" fillId="6" borderId="1" xfId="0" applyNumberFormat="1" applyFill="1" applyBorder="1" applyAlignment="1">
      <alignment vertical="center" wrapText="1"/>
    </xf>
    <xf numFmtId="0" fontId="2" fillId="9" borderId="2" xfId="0" applyFont="1" applyFill="1" applyBorder="1" applyAlignment="1">
      <alignment vertical="center" wrapText="1"/>
    </xf>
    <xf numFmtId="0" fontId="0" fillId="0" borderId="2" xfId="0" applyBorder="1" applyAlignment="1">
      <alignment vertical="top" wrapText="1"/>
    </xf>
    <xf numFmtId="0" fontId="0" fillId="10" borderId="2" xfId="0" applyFill="1" applyBorder="1" applyAlignment="1">
      <alignment vertical="top" wrapText="1"/>
    </xf>
    <xf numFmtId="0" fontId="0" fillId="11" borderId="2" xfId="0" applyFill="1" applyBorder="1" applyAlignment="1">
      <alignment vertical="top" wrapText="1"/>
    </xf>
    <xf numFmtId="0" fontId="0" fillId="12" borderId="2" xfId="0" applyFill="1" applyBorder="1" applyAlignment="1">
      <alignment vertical="top" wrapText="1"/>
    </xf>
    <xf numFmtId="0" fontId="0" fillId="13" borderId="2" xfId="0" applyFill="1" applyBorder="1" applyAlignment="1">
      <alignment vertical="top" wrapText="1"/>
    </xf>
    <xf numFmtId="0" fontId="7" fillId="14" borderId="3" xfId="0" applyFont="1" applyFill="1" applyBorder="1" applyAlignment="1">
      <alignment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8" fillId="16" borderId="3" xfId="0" applyFont="1" applyFill="1" applyBorder="1" applyAlignment="1">
      <alignment horizontal="center" vertical="center" wrapText="1"/>
    </xf>
    <xf numFmtId="0" fontId="8" fillId="18" borderId="3" xfId="0" applyFont="1" applyFill="1" applyBorder="1" applyAlignment="1">
      <alignment horizontal="center" vertical="center" wrapText="1"/>
    </xf>
    <xf numFmtId="0" fontId="13" fillId="19" borderId="3" xfId="0" applyFont="1" applyFill="1" applyBorder="1" applyAlignment="1">
      <alignment horizontal="center" vertical="center" wrapText="1"/>
    </xf>
    <xf numFmtId="1" fontId="13" fillId="19" borderId="3" xfId="0" applyNumberFormat="1" applyFont="1" applyFill="1" applyBorder="1" applyAlignment="1">
      <alignment horizontal="center" vertical="center" wrapText="1"/>
    </xf>
    <xf numFmtId="1" fontId="8" fillId="18" borderId="3" xfId="0" applyNumberFormat="1" applyFont="1" applyFill="1" applyBorder="1" applyAlignment="1">
      <alignment horizontal="center" vertical="center" wrapText="1"/>
    </xf>
    <xf numFmtId="0" fontId="10" fillId="17" borderId="3" xfId="0" applyFont="1" applyFill="1" applyBorder="1" applyAlignment="1">
      <alignment wrapText="1"/>
    </xf>
    <xf numFmtId="0" fontId="0" fillId="0" borderId="1" xfId="0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4" fontId="0" fillId="0" borderId="1" xfId="0" applyNumberFormat="1" applyBorder="1" applyAlignment="1">
      <alignment horizontal="center" vertical="center" wrapText="1"/>
    </xf>
    <xf numFmtId="2" fontId="0" fillId="7" borderId="1" xfId="0" applyNumberForma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7" fillId="17" borderId="3" xfId="0" applyFont="1" applyFill="1" applyBorder="1" applyAlignment="1">
      <alignment horizontal="center" vertical="center" wrapText="1"/>
    </xf>
    <xf numFmtId="2" fontId="7" fillId="17" borderId="3" xfId="0" applyNumberFormat="1" applyFont="1" applyFill="1" applyBorder="1" applyAlignment="1">
      <alignment horizontal="center" vertical="center" wrapText="1"/>
    </xf>
    <xf numFmtId="2" fontId="7" fillId="19" borderId="3" xfId="0" applyNumberFormat="1" applyFont="1" applyFill="1" applyBorder="1" applyAlignment="1">
      <alignment horizontal="center" vertical="center" wrapText="1"/>
    </xf>
    <xf numFmtId="0" fontId="7" fillId="19" borderId="3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2" fontId="7" fillId="6" borderId="3" xfId="0" applyNumberFormat="1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187" fontId="7" fillId="19" borderId="3" xfId="0" applyNumberFormat="1" applyFont="1" applyFill="1" applyBorder="1" applyAlignment="1">
      <alignment horizontal="center" vertical="center" wrapText="1"/>
    </xf>
    <xf numFmtId="0" fontId="15" fillId="22" borderId="0" xfId="0" applyFont="1" applyFill="1" applyAlignment="1">
      <alignment vertical="center"/>
    </xf>
    <xf numFmtId="0" fontId="15" fillId="23" borderId="0" xfId="0" applyFont="1" applyFill="1" applyAlignment="1">
      <alignment vertical="center"/>
    </xf>
    <xf numFmtId="0" fontId="2" fillId="9" borderId="2" xfId="0" applyFont="1" applyFill="1" applyBorder="1" applyAlignment="1">
      <alignment horizontal="center" vertical="center" wrapText="1"/>
    </xf>
    <xf numFmtId="0" fontId="7" fillId="20" borderId="3" xfId="0" applyFont="1" applyFill="1" applyBorder="1" applyAlignment="1">
      <alignment horizontal="center" vertical="center" wrapText="1"/>
    </xf>
    <xf numFmtId="0" fontId="0" fillId="19" borderId="3" xfId="0" applyFill="1" applyBorder="1" applyAlignment="1">
      <alignment vertical="center" wrapText="1"/>
    </xf>
    <xf numFmtId="0" fontId="17" fillId="14" borderId="3" xfId="0" applyFont="1" applyFill="1" applyBorder="1" applyAlignment="1">
      <alignment horizontal="center" vertical="center" wrapText="1"/>
    </xf>
    <xf numFmtId="0" fontId="17" fillId="19" borderId="3" xfId="0" applyFont="1" applyFill="1" applyBorder="1" applyAlignment="1">
      <alignment horizontal="center" vertical="center" wrapText="1"/>
    </xf>
    <xf numFmtId="0" fontId="18" fillId="14" borderId="3" xfId="0" applyFont="1" applyFill="1" applyBorder="1" applyAlignment="1">
      <alignment horizontal="center" vertical="center" wrapText="1"/>
    </xf>
    <xf numFmtId="188" fontId="18" fillId="17" borderId="3" xfId="0" applyNumberFormat="1" applyFont="1" applyFill="1" applyBorder="1" applyAlignment="1">
      <alignment horizontal="center" vertical="center" wrapText="1"/>
    </xf>
    <xf numFmtId="0" fontId="18" fillId="19" borderId="3" xfId="0" applyFont="1" applyFill="1" applyBorder="1" applyAlignment="1">
      <alignment horizontal="center" vertical="center" wrapText="1"/>
    </xf>
    <xf numFmtId="0" fontId="19" fillId="18" borderId="3" xfId="0" applyFont="1" applyFill="1" applyBorder="1" applyAlignment="1">
      <alignment horizontal="center" vertical="center" wrapText="1"/>
    </xf>
    <xf numFmtId="0" fontId="7" fillId="14" borderId="3" xfId="0" applyFont="1" applyFill="1" applyBorder="1" applyAlignment="1">
      <alignment horizontal="center" vertical="center" wrapText="1"/>
    </xf>
    <xf numFmtId="0" fontId="2" fillId="23" borderId="1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left"/>
    </xf>
    <xf numFmtId="0" fontId="2" fillId="22" borderId="1" xfId="0" applyFont="1" applyFill="1" applyBorder="1" applyAlignment="1">
      <alignment horizontal="center" vertical="center" wrapText="1"/>
    </xf>
    <xf numFmtId="2" fontId="14" fillId="24" borderId="3" xfId="0" applyNumberFormat="1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7" fillId="24" borderId="3" xfId="0" applyFont="1" applyFill="1" applyBorder="1" applyAlignment="1">
      <alignment horizontal="center" vertical="center" wrapText="1"/>
    </xf>
    <xf numFmtId="0" fontId="7" fillId="21" borderId="3" xfId="0" applyFont="1" applyFill="1" applyBorder="1" applyAlignment="1">
      <alignment horizontal="center" vertical="center" wrapText="1"/>
    </xf>
    <xf numFmtId="1" fontId="7" fillId="21" borderId="3" xfId="0" applyNumberFormat="1" applyFont="1" applyFill="1" applyBorder="1" applyAlignment="1">
      <alignment horizontal="center" vertical="center" wrapText="1"/>
    </xf>
    <xf numFmtId="0" fontId="9" fillId="26" borderId="3" xfId="0" applyFont="1" applyFill="1" applyBorder="1" applyAlignment="1">
      <alignment vertical="center" wrapText="1"/>
    </xf>
    <xf numFmtId="0" fontId="7" fillId="27" borderId="3" xfId="0" applyFont="1" applyFill="1" applyBorder="1" applyAlignment="1">
      <alignment vertical="center" wrapText="1"/>
    </xf>
    <xf numFmtId="0" fontId="7" fillId="27" borderId="3" xfId="0" applyFont="1" applyFill="1" applyBorder="1" applyAlignment="1">
      <alignment horizontal="center" vertical="center" wrapText="1"/>
    </xf>
    <xf numFmtId="2" fontId="7" fillId="27" borderId="3" xfId="0" applyNumberFormat="1" applyFont="1" applyFill="1" applyBorder="1" applyAlignment="1">
      <alignment horizontal="center" vertical="center" wrapText="1"/>
    </xf>
    <xf numFmtId="2" fontId="9" fillId="27" borderId="3" xfId="0" applyNumberFormat="1" applyFont="1" applyFill="1" applyBorder="1" applyAlignment="1">
      <alignment horizontal="center" vertical="center" wrapText="1"/>
    </xf>
    <xf numFmtId="187" fontId="7" fillId="27" borderId="3" xfId="0" applyNumberFormat="1" applyFont="1" applyFill="1" applyBorder="1" applyAlignment="1">
      <alignment horizontal="center" vertical="center" wrapText="1"/>
    </xf>
    <xf numFmtId="2" fontId="7" fillId="28" borderId="3" xfId="0" applyNumberFormat="1" applyFont="1" applyFill="1" applyBorder="1" applyAlignment="1">
      <alignment horizontal="center" vertical="center" wrapText="1"/>
    </xf>
    <xf numFmtId="2" fontId="7" fillId="29" borderId="3" xfId="0" applyNumberFormat="1" applyFont="1" applyFill="1" applyBorder="1" applyAlignment="1">
      <alignment horizontal="center" vertical="center" wrapText="1"/>
    </xf>
    <xf numFmtId="187" fontId="9" fillId="29" borderId="3" xfId="0" applyNumberFormat="1" applyFont="1" applyFill="1" applyBorder="1" applyAlignment="1">
      <alignment horizontal="center" vertical="center" wrapText="1"/>
    </xf>
    <xf numFmtId="187" fontId="7" fillId="29" borderId="3" xfId="0" applyNumberFormat="1" applyFont="1" applyFill="1" applyBorder="1" applyAlignment="1">
      <alignment horizontal="center" vertical="center" wrapText="1"/>
    </xf>
    <xf numFmtId="0" fontId="7" fillId="29" borderId="3" xfId="0" applyFont="1" applyFill="1" applyBorder="1" applyAlignment="1">
      <alignment horizontal="center" vertical="center" wrapText="1"/>
    </xf>
    <xf numFmtId="187" fontId="16" fillId="29" borderId="3" xfId="0" applyNumberFormat="1" applyFont="1" applyFill="1" applyBorder="1" applyAlignment="1">
      <alignment horizontal="center" vertical="center" wrapText="1"/>
    </xf>
    <xf numFmtId="0" fontId="7" fillId="29" borderId="3" xfId="0" applyFont="1" applyFill="1" applyBorder="1" applyAlignment="1">
      <alignment vertical="center" wrapText="1"/>
    </xf>
    <xf numFmtId="0" fontId="8" fillId="31" borderId="3" xfId="0" applyFont="1" applyFill="1" applyBorder="1" applyAlignment="1">
      <alignment horizontal="center" vertical="center" wrapText="1"/>
    </xf>
    <xf numFmtId="0" fontId="19" fillId="9" borderId="2" xfId="0" applyFont="1" applyFill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1" fontId="18" fillId="11" borderId="2" xfId="0" applyNumberFormat="1" applyFont="1" applyFill="1" applyBorder="1" applyAlignment="1">
      <alignment horizontal="center" vertical="center" wrapText="1"/>
    </xf>
    <xf numFmtId="188" fontId="18" fillId="28" borderId="2" xfId="0" applyNumberFormat="1" applyFont="1" applyFill="1" applyBorder="1" applyAlignment="1">
      <alignment horizontal="center" vertical="center" wrapText="1"/>
    </xf>
    <xf numFmtId="188" fontId="18" fillId="11" borderId="2" xfId="0" applyNumberFormat="1" applyFont="1" applyFill="1" applyBorder="1" applyAlignment="1">
      <alignment horizontal="center" vertical="center" wrapText="1"/>
    </xf>
    <xf numFmtId="188" fontId="18" fillId="10" borderId="2" xfId="0" applyNumberFormat="1" applyFont="1" applyFill="1" applyBorder="1" applyAlignment="1">
      <alignment horizontal="center"/>
    </xf>
    <xf numFmtId="0" fontId="10" fillId="17" borderId="3" xfId="0" applyFont="1" applyFill="1" applyBorder="1"/>
    <xf numFmtId="0" fontId="16" fillId="0" borderId="0" xfId="0" applyFont="1"/>
    <xf numFmtId="0" fontId="2" fillId="18" borderId="3" xfId="0" applyFont="1" applyFill="1" applyBorder="1" applyAlignment="1">
      <alignment horizontal="center" vertical="center" wrapText="1"/>
    </xf>
    <xf numFmtId="187" fontId="0" fillId="29" borderId="3" xfId="0" applyNumberFormat="1" applyFill="1" applyBorder="1" applyAlignment="1">
      <alignment horizontal="center" vertical="center" wrapText="1"/>
    </xf>
    <xf numFmtId="0" fontId="0" fillId="29" borderId="3" xfId="0" applyFill="1" applyBorder="1" applyAlignment="1">
      <alignment horizontal="center" vertical="center" wrapText="1"/>
    </xf>
    <xf numFmtId="0" fontId="0" fillId="27" borderId="3" xfId="0" applyFill="1" applyBorder="1" applyAlignment="1">
      <alignment horizontal="left" vertical="center"/>
    </xf>
    <xf numFmtId="0" fontId="16" fillId="27" borderId="3" xfId="0" applyFont="1" applyFill="1" applyBorder="1" applyAlignment="1">
      <alignment horizontal="center" vertical="center" wrapText="1"/>
    </xf>
    <xf numFmtId="188" fontId="16" fillId="29" borderId="3" xfId="0" applyNumberFormat="1" applyFont="1" applyFill="1" applyBorder="1" applyAlignment="1">
      <alignment horizontal="center" vertical="center" wrapText="1"/>
    </xf>
    <xf numFmtId="188" fontId="16" fillId="27" borderId="3" xfId="0" applyNumberFormat="1" applyFont="1" applyFill="1" applyBorder="1" applyAlignment="1">
      <alignment horizontal="center" vertical="center" wrapText="1"/>
    </xf>
    <xf numFmtId="0" fontId="16" fillId="29" borderId="3" xfId="0" applyFont="1" applyFill="1" applyBorder="1" applyAlignment="1">
      <alignment horizontal="center" vertical="center" wrapText="1"/>
    </xf>
    <xf numFmtId="0" fontId="19" fillId="16" borderId="3" xfId="0" applyFont="1" applyFill="1" applyBorder="1" applyAlignment="1">
      <alignment horizontal="center" vertical="center" wrapText="1"/>
    </xf>
    <xf numFmtId="0" fontId="18" fillId="26" borderId="3" xfId="0" applyFont="1" applyFill="1" applyBorder="1" applyAlignment="1">
      <alignment horizontal="center" vertical="center" wrapText="1"/>
    </xf>
    <xf numFmtId="187" fontId="17" fillId="29" borderId="3" xfId="0" applyNumberFormat="1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0" fillId="26" borderId="3" xfId="0" applyFill="1" applyBorder="1" applyAlignment="1">
      <alignment horizontal="center" vertical="center" wrapText="1"/>
    </xf>
    <xf numFmtId="0" fontId="23" fillId="26" borderId="3" xfId="0" applyFont="1" applyFill="1" applyBorder="1" applyAlignment="1">
      <alignment horizontal="center" vertical="center" wrapText="1"/>
    </xf>
    <xf numFmtId="0" fontId="26" fillId="19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11" borderId="2" xfId="0" applyFont="1" applyFill="1" applyBorder="1" applyAlignment="1">
      <alignment horizontal="center" vertical="center" wrapText="1"/>
    </xf>
    <xf numFmtId="0" fontId="7" fillId="32" borderId="3" xfId="0" applyFont="1" applyFill="1" applyBorder="1" applyAlignment="1">
      <alignment horizontal="center" vertical="center" wrapText="1"/>
    </xf>
    <xf numFmtId="0" fontId="26" fillId="14" borderId="3" xfId="0" applyFont="1" applyFill="1" applyBorder="1" applyAlignment="1">
      <alignment horizontal="center" vertical="center" wrapText="1"/>
    </xf>
    <xf numFmtId="0" fontId="7" fillId="32" borderId="3" xfId="0" applyFont="1" applyFill="1" applyBorder="1" applyAlignment="1">
      <alignment vertical="center" wrapText="1"/>
    </xf>
    <xf numFmtId="1" fontId="7" fillId="32" borderId="3" xfId="0" applyNumberFormat="1" applyFont="1" applyFill="1" applyBorder="1" applyAlignment="1">
      <alignment horizontal="center" vertical="center" wrapText="1"/>
    </xf>
    <xf numFmtId="0" fontId="26" fillId="32" borderId="3" xfId="0" applyFont="1" applyFill="1" applyBorder="1" applyAlignment="1">
      <alignment horizontal="center" vertical="center" wrapText="1"/>
    </xf>
    <xf numFmtId="187" fontId="7" fillId="32" borderId="3" xfId="0" applyNumberFormat="1" applyFont="1" applyFill="1" applyBorder="1" applyAlignment="1">
      <alignment vertical="center" wrapText="1"/>
    </xf>
    <xf numFmtId="0" fontId="28" fillId="0" borderId="0" xfId="0" applyFont="1"/>
    <xf numFmtId="187" fontId="7" fillId="35" borderId="3" xfId="0" applyNumberFormat="1" applyFont="1" applyFill="1" applyBorder="1" applyAlignment="1">
      <alignment horizontal="center" vertical="center" wrapText="1"/>
    </xf>
    <xf numFmtId="0" fontId="29" fillId="34" borderId="3" xfId="0" applyFont="1" applyFill="1" applyBorder="1" applyAlignment="1">
      <alignment horizontal="center" vertical="center" wrapText="1"/>
    </xf>
    <xf numFmtId="0" fontId="29" fillId="35" borderId="3" xfId="0" applyFont="1" applyFill="1" applyBorder="1" applyAlignment="1">
      <alignment horizontal="center" vertical="center" wrapText="1"/>
    </xf>
    <xf numFmtId="0" fontId="26" fillId="0" borderId="0" xfId="0" applyFont="1"/>
    <xf numFmtId="0" fontId="26" fillId="11" borderId="2" xfId="0" applyFont="1" applyFill="1" applyBorder="1" applyAlignment="1">
      <alignment horizontal="center" vertical="center" wrapText="1"/>
    </xf>
    <xf numFmtId="2" fontId="0" fillId="32" borderId="1" xfId="0" applyNumberFormat="1" applyFill="1" applyBorder="1" applyAlignment="1">
      <alignment horizontal="center" vertical="center" wrapText="1"/>
    </xf>
    <xf numFmtId="2" fontId="0" fillId="33" borderId="1" xfId="0" applyNumberFormat="1" applyFill="1" applyBorder="1" applyAlignment="1">
      <alignment horizontal="center" vertical="center" wrapText="1"/>
    </xf>
    <xf numFmtId="188" fontId="17" fillId="32" borderId="3" xfId="0" applyNumberFormat="1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0" fillId="14" borderId="3" xfId="0" applyFill="1" applyBorder="1" applyAlignment="1">
      <alignment vertical="center" wrapText="1"/>
    </xf>
    <xf numFmtId="0" fontId="0" fillId="17" borderId="3" xfId="0" applyFill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2" fontId="0" fillId="17" borderId="3" xfId="0" applyNumberFormat="1" applyFill="1" applyBorder="1" applyAlignment="1">
      <alignment vertical="center" wrapText="1"/>
    </xf>
    <xf numFmtId="2" fontId="7" fillId="32" borderId="3" xfId="0" applyNumberFormat="1" applyFont="1" applyFill="1" applyBorder="1" applyAlignment="1">
      <alignment horizontal="center" vertical="center" wrapText="1"/>
    </xf>
    <xf numFmtId="0" fontId="27" fillId="28" borderId="3" xfId="0" applyFont="1" applyFill="1" applyBorder="1" applyAlignment="1">
      <alignment vertical="center" wrapText="1"/>
    </xf>
    <xf numFmtId="0" fontId="23" fillId="28" borderId="3" xfId="0" applyFont="1" applyFill="1" applyBorder="1" applyAlignment="1">
      <alignment horizontal="center" vertical="center" wrapText="1"/>
    </xf>
    <xf numFmtId="0" fontId="27" fillId="29" borderId="3" xfId="0" applyFont="1" applyFill="1" applyBorder="1" applyAlignment="1">
      <alignment horizontal="center" vertical="center" wrapText="1"/>
    </xf>
    <xf numFmtId="187" fontId="27" fillId="29" borderId="3" xfId="0" applyNumberFormat="1" applyFont="1" applyFill="1" applyBorder="1" applyAlignment="1">
      <alignment horizontal="center" vertical="center" wrapText="1"/>
    </xf>
    <xf numFmtId="187" fontId="27" fillId="28" borderId="3" xfId="0" applyNumberFormat="1" applyFont="1" applyFill="1" applyBorder="1" applyAlignment="1">
      <alignment vertical="center" wrapText="1"/>
    </xf>
    <xf numFmtId="0" fontId="26" fillId="25" borderId="3" xfId="0" applyFont="1" applyFill="1" applyBorder="1" applyAlignment="1">
      <alignment horizontal="center" vertical="center" wrapText="1"/>
    </xf>
    <xf numFmtId="0" fontId="26" fillId="36" borderId="3" xfId="0" applyFont="1" applyFill="1" applyBorder="1" applyAlignment="1">
      <alignment horizontal="center" vertical="center" wrapText="1"/>
    </xf>
    <xf numFmtId="0" fontId="30" fillId="33" borderId="0" xfId="0" applyFont="1" applyFill="1" applyAlignment="1">
      <alignment horizontal="center" vertical="center" wrapText="1"/>
    </xf>
    <xf numFmtId="187" fontId="26" fillId="37" borderId="3" xfId="0" applyNumberFormat="1" applyFont="1" applyFill="1" applyBorder="1" applyAlignment="1">
      <alignment horizontal="center" vertical="center" wrapText="1"/>
    </xf>
    <xf numFmtId="0" fontId="8" fillId="39" borderId="3" xfId="0" applyFont="1" applyFill="1" applyBorder="1" applyAlignment="1">
      <alignment horizontal="center" vertical="center" wrapText="1"/>
    </xf>
    <xf numFmtId="0" fontId="7" fillId="41" borderId="3" xfId="0" applyFont="1" applyFill="1" applyBorder="1" applyAlignment="1">
      <alignment vertical="center" wrapText="1"/>
    </xf>
    <xf numFmtId="1" fontId="7" fillId="40" borderId="3" xfId="0" applyNumberFormat="1" applyFont="1" applyFill="1" applyBorder="1" applyAlignment="1">
      <alignment horizontal="center" vertical="center" wrapText="1"/>
    </xf>
    <xf numFmtId="0" fontId="7" fillId="43" borderId="3" xfId="0" applyFont="1" applyFill="1" applyBorder="1" applyAlignment="1">
      <alignment horizontal="center" vertical="center" wrapText="1"/>
    </xf>
    <xf numFmtId="0" fontId="7" fillId="44" borderId="3" xfId="0" applyFont="1" applyFill="1" applyBorder="1" applyAlignment="1">
      <alignment horizontal="center" vertical="center" wrapText="1"/>
    </xf>
    <xf numFmtId="0" fontId="9" fillId="43" borderId="3" xfId="0" applyFont="1" applyFill="1" applyBorder="1" applyAlignment="1">
      <alignment horizontal="center" vertical="center" wrapText="1"/>
    </xf>
    <xf numFmtId="1" fontId="32" fillId="29" borderId="2" xfId="0" applyNumberFormat="1" applyFont="1" applyFill="1" applyBorder="1" applyAlignment="1">
      <alignment horizontal="center" vertical="center" wrapText="1"/>
    </xf>
    <xf numFmtId="1" fontId="32" fillId="10" borderId="2" xfId="0" applyNumberFormat="1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/>
    </xf>
    <xf numFmtId="0" fontId="2" fillId="39" borderId="3" xfId="0" applyFont="1" applyFill="1" applyBorder="1" applyAlignment="1">
      <alignment horizontal="center" vertical="center" wrapText="1"/>
    </xf>
    <xf numFmtId="0" fontId="36" fillId="39" borderId="3" xfId="0" applyFont="1" applyFill="1" applyBorder="1" applyAlignment="1">
      <alignment horizontal="center" vertical="center" wrapText="1"/>
    </xf>
    <xf numFmtId="187" fontId="37" fillId="40" borderId="3" xfId="0" applyNumberFormat="1" applyFont="1" applyFill="1" applyBorder="1" applyAlignment="1">
      <alignment horizontal="center" vertical="center" wrapText="1"/>
    </xf>
    <xf numFmtId="1" fontId="37" fillId="10" borderId="2" xfId="0" applyNumberFormat="1" applyFont="1" applyFill="1" applyBorder="1" applyAlignment="1">
      <alignment horizontal="center" vertical="center" wrapText="1"/>
    </xf>
    <xf numFmtId="0" fontId="0" fillId="42" borderId="3" xfId="0" applyFill="1" applyBorder="1" applyAlignment="1">
      <alignment vertical="center" wrapText="1"/>
    </xf>
    <xf numFmtId="0" fontId="0" fillId="42" borderId="3" xfId="0" applyFill="1" applyBorder="1" applyAlignment="1">
      <alignment vertical="center"/>
    </xf>
    <xf numFmtId="0" fontId="0" fillId="42" borderId="3" xfId="0" applyFill="1" applyBorder="1" applyAlignment="1">
      <alignment horizontal="center" vertical="center" wrapText="1"/>
    </xf>
    <xf numFmtId="0" fontId="37" fillId="42" borderId="3" xfId="0" applyFont="1" applyFill="1" applyBorder="1" applyAlignment="1">
      <alignment horizontal="center" vertical="center" wrapText="1"/>
    </xf>
    <xf numFmtId="0" fontId="37" fillId="40" borderId="3" xfId="0" applyFont="1" applyFill="1" applyBorder="1" applyAlignment="1">
      <alignment horizontal="center" vertical="center" wrapText="1"/>
    </xf>
    <xf numFmtId="0" fontId="0" fillId="45" borderId="3" xfId="0" applyFill="1" applyBorder="1" applyAlignment="1">
      <alignment vertical="center" wrapText="1"/>
    </xf>
    <xf numFmtId="0" fontId="37" fillId="45" borderId="3" xfId="0" applyFont="1" applyFill="1" applyBorder="1" applyAlignment="1">
      <alignment horizontal="center" vertical="center" wrapText="1"/>
    </xf>
    <xf numFmtId="0" fontId="38" fillId="0" borderId="0" xfId="0" applyFont="1" applyAlignment="1">
      <alignment horizontal="center"/>
    </xf>
    <xf numFmtId="0" fontId="37" fillId="29" borderId="3" xfId="0" applyFont="1" applyFill="1" applyBorder="1" applyAlignment="1">
      <alignment horizontal="center" vertical="center" wrapText="1"/>
    </xf>
    <xf numFmtId="187" fontId="39" fillId="25" borderId="3" xfId="0" applyNumberFormat="1" applyFont="1" applyFill="1" applyBorder="1" applyAlignment="1">
      <alignment horizontal="center" vertical="center" wrapText="1"/>
    </xf>
    <xf numFmtId="0" fontId="40" fillId="0" borderId="0" xfId="0" applyFont="1"/>
    <xf numFmtId="0" fontId="40" fillId="42" borderId="3" xfId="0" applyFont="1" applyFill="1" applyBorder="1" applyAlignment="1">
      <alignment vertical="center"/>
    </xf>
    <xf numFmtId="188" fontId="3" fillId="46" borderId="3" xfId="0" applyNumberFormat="1" applyFont="1" applyFill="1" applyBorder="1" applyAlignment="1">
      <alignment horizontal="center" vertical="center" wrapText="1"/>
    </xf>
    <xf numFmtId="0" fontId="20" fillId="46" borderId="3" xfId="0" applyFont="1" applyFill="1" applyBorder="1" applyAlignment="1">
      <alignment horizontal="center" vertical="center" wrapText="1"/>
    </xf>
    <xf numFmtId="0" fontId="3" fillId="46" borderId="3" xfId="0" applyFont="1" applyFill="1" applyBorder="1" applyAlignment="1">
      <alignment horizontal="center" vertical="center" wrapText="1"/>
    </xf>
    <xf numFmtId="187" fontId="3" fillId="46" borderId="3" xfId="0" applyNumberFormat="1" applyFont="1" applyFill="1" applyBorder="1" applyAlignment="1">
      <alignment horizontal="center" vertical="center" wrapText="1"/>
    </xf>
    <xf numFmtId="0" fontId="0" fillId="46" borderId="0" xfId="0" applyFill="1"/>
    <xf numFmtId="0" fontId="37" fillId="46" borderId="8" xfId="0" applyFont="1" applyFill="1" applyBorder="1" applyAlignment="1">
      <alignment horizontal="center" vertical="center" wrapText="1"/>
    </xf>
    <xf numFmtId="3" fontId="33" fillId="47" borderId="3" xfId="0" applyNumberFormat="1" applyFont="1" applyFill="1" applyBorder="1" applyAlignment="1">
      <alignment horizontal="center" vertical="center" wrapText="1"/>
    </xf>
    <xf numFmtId="0" fontId="7" fillId="43" borderId="0" xfId="0" applyFont="1" applyFill="1" applyAlignment="1">
      <alignment vertical="center"/>
    </xf>
    <xf numFmtId="0" fontId="8" fillId="50" borderId="3" xfId="0" applyFont="1" applyFill="1" applyBorder="1" applyAlignment="1">
      <alignment horizontal="center" vertical="center" wrapText="1"/>
    </xf>
    <xf numFmtId="0" fontId="7" fillId="52" borderId="3" xfId="0" applyFont="1" applyFill="1" applyBorder="1" applyAlignment="1">
      <alignment vertical="center" wrapText="1"/>
    </xf>
    <xf numFmtId="0" fontId="7" fillId="51" borderId="3" xfId="0" applyFont="1" applyFill="1" applyBorder="1" applyAlignment="1">
      <alignment horizontal="center" vertical="center" wrapText="1"/>
    </xf>
    <xf numFmtId="187" fontId="7" fillId="52" borderId="3" xfId="0" applyNumberFormat="1" applyFont="1" applyFill="1" applyBorder="1" applyAlignment="1">
      <alignment horizontal="center" vertical="center" wrapText="1"/>
    </xf>
    <xf numFmtId="0" fontId="41" fillId="51" borderId="3" xfId="0" applyFont="1" applyFill="1" applyBorder="1" applyAlignment="1">
      <alignment horizontal="center" vertical="center" wrapText="1"/>
    </xf>
    <xf numFmtId="0" fontId="41" fillId="52" borderId="3" xfId="0" applyFont="1" applyFill="1" applyBorder="1" applyAlignment="1">
      <alignment horizontal="center" vertical="center" wrapText="1"/>
    </xf>
    <xf numFmtId="187" fontId="41" fillId="52" borderId="3" xfId="0" applyNumberFormat="1" applyFont="1" applyFill="1" applyBorder="1" applyAlignment="1">
      <alignment horizontal="center" vertical="center" wrapText="1"/>
    </xf>
    <xf numFmtId="0" fontId="41" fillId="49" borderId="3" xfId="0" applyFont="1" applyFill="1" applyBorder="1" applyAlignment="1">
      <alignment horizontal="center" vertical="center" wrapText="1"/>
    </xf>
    <xf numFmtId="0" fontId="42" fillId="51" borderId="3" xfId="0" applyFont="1" applyFill="1" applyBorder="1" applyAlignment="1">
      <alignment horizontal="center" vertical="center" wrapText="1"/>
    </xf>
    <xf numFmtId="187" fontId="7" fillId="55" borderId="3" xfId="0" applyNumberFormat="1" applyFont="1" applyFill="1" applyBorder="1" applyAlignment="1">
      <alignment horizontal="center" vertical="center" wrapText="1"/>
    </xf>
    <xf numFmtId="0" fontId="41" fillId="55" borderId="3" xfId="0" applyFont="1" applyFill="1" applyBorder="1" applyAlignment="1">
      <alignment horizontal="center" vertical="center" wrapText="1"/>
    </xf>
    <xf numFmtId="0" fontId="3" fillId="29" borderId="3" xfId="0" applyFont="1" applyFill="1" applyBorder="1" applyAlignment="1">
      <alignment horizontal="center" vertical="center" wrapText="1"/>
    </xf>
    <xf numFmtId="187" fontId="41" fillId="53" borderId="3" xfId="0" applyNumberFormat="1" applyFont="1" applyFill="1" applyBorder="1" applyAlignment="1">
      <alignment horizontal="center" vertical="center" wrapText="1"/>
    </xf>
    <xf numFmtId="189" fontId="41" fillId="53" borderId="3" xfId="0" applyNumberFormat="1" applyFont="1" applyFill="1" applyBorder="1" applyAlignment="1">
      <alignment horizontal="center" vertical="center" wrapText="1"/>
    </xf>
    <xf numFmtId="187" fontId="41" fillId="51" borderId="3" xfId="0" applyNumberFormat="1" applyFont="1" applyFill="1" applyBorder="1" applyAlignment="1">
      <alignment horizontal="center" vertical="center" wrapText="1"/>
    </xf>
    <xf numFmtId="0" fontId="41" fillId="53" borderId="3" xfId="0" applyFont="1" applyFill="1" applyBorder="1" applyAlignment="1">
      <alignment horizontal="center" vertical="center" wrapText="1"/>
    </xf>
    <xf numFmtId="0" fontId="43" fillId="0" borderId="0" xfId="0" applyFont="1"/>
    <xf numFmtId="0" fontId="41" fillId="43" borderId="3" xfId="0" applyFont="1" applyFill="1" applyBorder="1" applyAlignment="1">
      <alignment horizontal="center" vertical="center" wrapText="1"/>
    </xf>
    <xf numFmtId="187" fontId="41" fillId="54" borderId="3" xfId="0" applyNumberFormat="1" applyFont="1" applyFill="1" applyBorder="1" applyAlignment="1">
      <alignment horizontal="center" vertical="center" wrapText="1"/>
    </xf>
    <xf numFmtId="0" fontId="37" fillId="54" borderId="3" xfId="0" applyFont="1" applyFill="1" applyBorder="1" applyAlignment="1">
      <alignment horizontal="center" vertical="center" wrapText="1"/>
    </xf>
    <xf numFmtId="0" fontId="44" fillId="33" borderId="3" xfId="0" applyFont="1" applyFill="1" applyBorder="1" applyAlignment="1">
      <alignment horizontal="center" vertical="center" wrapText="1"/>
    </xf>
    <xf numFmtId="0" fontId="45" fillId="28" borderId="3" xfId="0" applyFont="1" applyFill="1" applyBorder="1" applyAlignment="1">
      <alignment horizontal="center" vertical="center" wrapText="1"/>
    </xf>
    <xf numFmtId="0" fontId="46" fillId="54" borderId="3" xfId="0" applyFont="1" applyFill="1" applyBorder="1" applyAlignment="1">
      <alignment horizontal="center" vertical="center" wrapText="1"/>
    </xf>
    <xf numFmtId="0" fontId="45" fillId="54" borderId="8" xfId="0" applyFont="1" applyFill="1" applyBorder="1" applyAlignment="1">
      <alignment horizontal="center" vertical="center" wrapText="1"/>
    </xf>
    <xf numFmtId="0" fontId="16" fillId="54" borderId="3" xfId="0" applyFont="1" applyFill="1" applyBorder="1" applyAlignment="1">
      <alignment horizontal="center" vertical="center" wrapText="1"/>
    </xf>
    <xf numFmtId="188" fontId="47" fillId="32" borderId="3" xfId="0" applyNumberFormat="1" applyFont="1" applyFill="1" applyBorder="1" applyAlignment="1">
      <alignment horizontal="center" vertical="center" wrapText="1"/>
    </xf>
    <xf numFmtId="0" fontId="48" fillId="0" borderId="0" xfId="0" applyFont="1" applyAlignment="1">
      <alignment horizontal="left" vertical="center"/>
    </xf>
    <xf numFmtId="0" fontId="49" fillId="43" borderId="0" xfId="0" applyFont="1" applyFill="1" applyAlignment="1">
      <alignment horizontal="left" vertical="center" wrapText="1"/>
    </xf>
    <xf numFmtId="0" fontId="49" fillId="0" borderId="3" xfId="0" applyFont="1" applyBorder="1" applyAlignment="1">
      <alignment horizontal="left" vertical="center"/>
    </xf>
    <xf numFmtId="0" fontId="50" fillId="27" borderId="3" xfId="0" applyFont="1" applyFill="1" applyBorder="1" applyAlignment="1">
      <alignment horizontal="center" vertical="center" wrapText="1"/>
    </xf>
    <xf numFmtId="0" fontId="51" fillId="27" borderId="3" xfId="0" applyFont="1" applyFill="1" applyBorder="1" applyAlignment="1">
      <alignment horizontal="center" vertical="center" wrapText="1"/>
    </xf>
    <xf numFmtId="0" fontId="0" fillId="56" borderId="0" xfId="0" applyFill="1"/>
    <xf numFmtId="0" fontId="35" fillId="27" borderId="3" xfId="0" applyFont="1" applyFill="1" applyBorder="1" applyAlignment="1">
      <alignment horizontal="left" vertical="center" wrapText="1"/>
    </xf>
    <xf numFmtId="0" fontId="31" fillId="17" borderId="7" xfId="0" applyFont="1" applyFill="1" applyBorder="1" applyAlignment="1">
      <alignment horizontal="center" wrapText="1"/>
    </xf>
    <xf numFmtId="0" fontId="31" fillId="17" borderId="0" xfId="0" applyFont="1" applyFill="1" applyAlignment="1">
      <alignment horizontal="center" wrapText="1"/>
    </xf>
    <xf numFmtId="0" fontId="1" fillId="8" borderId="0" xfId="0" applyFont="1" applyFill="1" applyAlignment="1">
      <alignment vertical="center"/>
    </xf>
    <xf numFmtId="0" fontId="24" fillId="11" borderId="0" xfId="0" applyFont="1" applyFill="1" applyAlignment="1">
      <alignment wrapText="1"/>
    </xf>
    <xf numFmtId="0" fontId="25" fillId="13" borderId="0" xfId="0" applyFont="1" applyFill="1" applyAlignment="1">
      <alignment wrapText="1"/>
    </xf>
    <xf numFmtId="0" fontId="19" fillId="9" borderId="2" xfId="0" applyFont="1" applyFill="1" applyBorder="1" applyAlignment="1">
      <alignment horizontal="left" vertical="center" wrapText="1"/>
    </xf>
    <xf numFmtId="0" fontId="18" fillId="10" borderId="2" xfId="0" applyFont="1" applyFill="1" applyBorder="1" applyAlignment="1">
      <alignment horizontal="left"/>
    </xf>
    <xf numFmtId="0" fontId="8" fillId="15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35" fillId="17" borderId="3" xfId="0" applyFont="1" applyFill="1" applyBorder="1" applyAlignment="1">
      <alignment vertical="center" wrapText="1"/>
    </xf>
    <xf numFmtId="0" fontId="2" fillId="30" borderId="3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1" fillId="15" borderId="3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48" borderId="3" xfId="0" applyFont="1" applyFill="1" applyBorder="1" applyAlignment="1">
      <alignment horizontal="center" vertical="center" wrapText="1"/>
    </xf>
    <xf numFmtId="0" fontId="10" fillId="49" borderId="3" xfId="0" applyFont="1" applyFill="1" applyBorder="1" applyAlignment="1">
      <alignment wrapText="1"/>
    </xf>
    <xf numFmtId="0" fontId="8" fillId="48" borderId="3" xfId="0" applyFont="1" applyFill="1" applyBorder="1" applyAlignment="1">
      <alignment horizontal="center" vertical="center" wrapText="1"/>
    </xf>
    <xf numFmtId="0" fontId="2" fillId="38" borderId="3" xfId="0" applyFont="1" applyFill="1" applyBorder="1" applyAlignment="1">
      <alignment horizontal="center" vertical="center" wrapText="1"/>
    </xf>
    <xf numFmtId="0" fontId="34" fillId="42" borderId="3" xfId="0" applyFont="1" applyFill="1" applyBorder="1" applyAlignment="1">
      <alignment vertical="center" wrapText="1"/>
    </xf>
    <xf numFmtId="0" fontId="5" fillId="11" borderId="0" xfId="0" applyFont="1" applyFill="1" applyAlignment="1">
      <alignment wrapText="1"/>
    </xf>
    <xf numFmtId="0" fontId="6" fillId="13" borderId="0" xfId="0" applyFont="1" applyFill="1" applyAlignment="1">
      <alignment wrapText="1"/>
    </xf>
    <xf numFmtId="0" fontId="3" fillId="10" borderId="2" xfId="0" applyFont="1" applyFill="1" applyBorder="1"/>
    <xf numFmtId="0" fontId="8" fillId="38" borderId="3" xfId="0" applyFont="1" applyFill="1" applyBorder="1" applyAlignment="1">
      <alignment horizontal="center" vertical="center" wrapText="1"/>
    </xf>
    <xf numFmtId="0" fontId="11" fillId="17" borderId="3" xfId="0" applyFont="1" applyFill="1" applyBorder="1" applyAlignment="1">
      <alignment wrapText="1"/>
    </xf>
    <xf numFmtId="0" fontId="11" fillId="17" borderId="3" xfId="0" applyFont="1" applyFill="1" applyBorder="1" applyAlignment="1">
      <alignment horizontal="left" vertical="center" wrapText="1"/>
    </xf>
    <xf numFmtId="0" fontId="11" fillId="17" borderId="3" xfId="0" applyFont="1" applyFill="1" applyBorder="1" applyAlignment="1">
      <alignment vertical="center" wrapText="1"/>
    </xf>
    <xf numFmtId="0" fontId="4" fillId="13" borderId="0" xfId="0" applyFont="1" applyFill="1" applyAlignment="1">
      <alignment wrapText="1"/>
    </xf>
    <xf numFmtId="0" fontId="12" fillId="21" borderId="3" xfId="0" applyFont="1" applyFill="1" applyBorder="1" applyAlignment="1">
      <alignment vertical="center" wrapText="1"/>
    </xf>
    <xf numFmtId="0" fontId="13" fillId="19" borderId="3" xfId="0" applyFont="1" applyFill="1" applyBorder="1" applyAlignment="1">
      <alignment horizontal="center" vertical="center" wrapText="1"/>
    </xf>
    <xf numFmtId="0" fontId="10" fillId="17" borderId="3" xfId="0" applyFont="1" applyFill="1" applyBorder="1" applyAlignment="1">
      <alignment wrapText="1"/>
    </xf>
    <xf numFmtId="1" fontId="10" fillId="17" borderId="3" xfId="0" applyNumberFormat="1" applyFont="1" applyFill="1" applyBorder="1" applyAlignment="1">
      <alignment wrapText="1"/>
    </xf>
    <xf numFmtId="0" fontId="12" fillId="21" borderId="3" xfId="0" applyFont="1" applyFill="1" applyBorder="1" applyAlignment="1">
      <alignment horizontal="left" wrapText="1"/>
    </xf>
    <xf numFmtId="0" fontId="10" fillId="17" borderId="3" xfId="0" applyFont="1" applyFill="1" applyBorder="1" applyAlignment="1">
      <alignment horizontal="left" wrapText="1"/>
    </xf>
    <xf numFmtId="0" fontId="10" fillId="49" borderId="3" xfId="0" applyFont="1" applyFill="1" applyBorder="1" applyAlignment="1">
      <alignment vertical="center" wrapText="1"/>
    </xf>
    <xf numFmtId="0" fontId="5" fillId="11" borderId="0" xfId="0" applyFont="1" applyFill="1" applyAlignment="1">
      <alignment vertical="center" wrapText="1"/>
    </xf>
    <xf numFmtId="0" fontId="10" fillId="17" borderId="4" xfId="0" applyFont="1" applyFill="1" applyBorder="1" applyAlignment="1">
      <alignment vertical="center" wrapText="1"/>
    </xf>
    <xf numFmtId="0" fontId="10" fillId="17" borderId="5" xfId="0" applyFont="1" applyFill="1" applyBorder="1" applyAlignment="1">
      <alignment vertical="center" wrapText="1"/>
    </xf>
    <xf numFmtId="0" fontId="10" fillId="17" borderId="6" xfId="0" applyFont="1" applyFill="1" applyBorder="1" applyAlignment="1">
      <alignment vertical="center" wrapText="1"/>
    </xf>
    <xf numFmtId="0" fontId="4" fillId="5" borderId="0" xfId="0" applyFont="1" applyFill="1" applyAlignment="1">
      <alignment vertical="center" wrapText="1"/>
    </xf>
  </cellXfs>
  <cellStyles count="2">
    <cellStyle name="Normal" xfId="0" builtinId="0"/>
    <cellStyle name="Normal 2" xfId="1" xr:uid="{7B9749D4-B53D-4436-9A3D-2C180BB23648}"/>
  </cellStyles>
  <dxfs count="180">
    <dxf>
      <font>
        <b/>
        <color rgb="FFC65911"/>
      </font>
      <fill>
        <patternFill>
          <bgColor rgb="FFFCE4D6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C65911"/>
      </font>
      <fill>
        <patternFill>
          <bgColor rgb="FFFCE4D6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C65911"/>
      </font>
      <fill>
        <patternFill>
          <bgColor rgb="FFFCE4D6"/>
        </patternFill>
      </fill>
    </dxf>
    <dxf>
      <font>
        <b/>
        <color rgb="FF006100"/>
      </font>
      <fill>
        <patternFill patternType="solid">
          <bgColor rgb="FFE2F0D9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C65911"/>
      </font>
      <fill>
        <patternFill patternType="solid">
          <bgColor rgb="FFFCE4D6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C65911"/>
      </font>
      <fill>
        <patternFill>
          <bgColor rgb="FFFCE4D6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C65911"/>
      </font>
      <fill>
        <patternFill>
          <bgColor rgb="FFFCE4D6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C65911"/>
      </font>
      <fill>
        <patternFill patternType="solid">
          <bgColor rgb="FFFCE4D6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006100"/>
      </font>
      <fill>
        <patternFill patternType="solid">
          <bgColor rgb="FFE2F0D9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C65911"/>
      </font>
      <fill>
        <patternFill>
          <bgColor rgb="FFFCE4D6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C65911"/>
      </font>
      <fill>
        <patternFill>
          <bgColor rgb="FFFCE4D6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C65911"/>
      </font>
      <fill>
        <patternFill>
          <bgColor rgb="FFFCE4D6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C65911"/>
      </font>
      <fill>
        <patternFill>
          <bgColor rgb="FFFCE4D6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C65911"/>
      </font>
      <fill>
        <patternFill>
          <bgColor rgb="FFFCE4D6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C65911"/>
      </font>
      <fill>
        <patternFill>
          <bgColor rgb="FFFCE4D6"/>
        </patternFill>
      </fill>
    </dxf>
    <dxf>
      <font>
        <b/>
        <color rgb="FFC65911"/>
      </font>
      <fill>
        <patternFill>
          <bgColor rgb="FFFCE4D6"/>
        </patternFill>
      </fill>
    </dxf>
    <dxf>
      <font>
        <b/>
        <color rgb="FFC65911"/>
      </font>
      <fill>
        <patternFill>
          <bgColor rgb="FFFCE4D6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C65911"/>
      </font>
      <fill>
        <patternFill>
          <bgColor rgb="FFFCE4D6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C65911"/>
      </font>
      <fill>
        <patternFill>
          <bgColor rgb="FFFCE4D6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C65911"/>
      </font>
      <fill>
        <patternFill>
          <bgColor rgb="FFFCE4D6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C65911"/>
      </font>
      <fill>
        <patternFill>
          <bgColor rgb="FFFCE4D6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C65911"/>
      </font>
      <fill>
        <patternFill>
          <bgColor rgb="FFFCE4D6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C65911"/>
      </font>
      <fill>
        <patternFill>
          <bgColor rgb="FFFCE4D6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C65911"/>
      </font>
      <fill>
        <patternFill>
          <bgColor rgb="FFFCE4D6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C65911"/>
      </font>
      <fill>
        <patternFill patternType="solid">
          <bgColor rgb="FFFCE4D6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006100"/>
      </font>
      <fill>
        <patternFill patternType="solid">
          <bgColor rgb="FFE2F0D9"/>
        </patternFill>
      </fill>
    </dxf>
    <dxf>
      <font>
        <b/>
        <color rgb="FFC65911"/>
      </font>
      <fill>
        <patternFill>
          <bgColor rgb="FFFCE4D6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C65911"/>
      </font>
      <fill>
        <patternFill>
          <bgColor rgb="FFFCE4D6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C65911"/>
      </font>
      <fill>
        <patternFill>
          <bgColor rgb="FFFCE4D6"/>
        </patternFill>
      </fill>
    </dxf>
    <dxf>
      <font>
        <b/>
        <color rgb="FFC65911"/>
      </font>
      <fill>
        <patternFill>
          <bgColor rgb="FFFCE4D6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C65911"/>
      </font>
      <fill>
        <patternFill>
          <bgColor rgb="FFFCE4D6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C65911"/>
      </font>
      <fill>
        <patternFill>
          <bgColor rgb="FFFCE4D6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C65911"/>
      </font>
      <fill>
        <patternFill>
          <bgColor rgb="FFFCE4D6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C65911"/>
      </font>
      <fill>
        <patternFill>
          <bgColor rgb="FFFCE4D6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C65911"/>
      </font>
      <fill>
        <patternFill>
          <bgColor rgb="FFFCE4D6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C65911"/>
      </font>
      <fill>
        <patternFill>
          <bgColor rgb="FFFCE4D6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C65911"/>
      </font>
      <fill>
        <patternFill>
          <bgColor rgb="FFFCE4D6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u val="none"/>
        <sz val="10"/>
        <color auto="1"/>
        <name val="Carlito"/>
        <scheme val="none"/>
      </font>
      <fill>
        <patternFill>
          <bgColor indexed="64"/>
        </patternFill>
      </fill>
      <border>
        <left/>
        <right style="thin">
          <color rgb="FFB7C9D6"/>
        </right>
        <top style="thin">
          <color rgb="FFB7C9D6"/>
        </top>
        <bottom style="thin">
          <color rgb="FFB7C9D6"/>
        </bottom>
      </border>
    </dxf>
    <dxf>
      <font>
        <b/>
      </font>
      <fill>
        <patternFill>
          <bgColor indexed="64"/>
        </patternFill>
      </fill>
    </dxf>
    <dxf>
      <font>
        <b/>
      </font>
      <fill>
        <patternFill>
          <bgColor indexed="64"/>
        </patternFill>
      </fill>
    </dxf>
    <dxf>
      <font>
        <b/>
        <u val="none"/>
        <sz val="9"/>
        <color auto="1"/>
        <name val="Carlito"/>
        <scheme val="none"/>
      </font>
      <numFmt numFmtId="0" formatCode="General"/>
      <fill>
        <patternFill>
          <bgColor indexed="64"/>
        </patternFill>
      </fill>
      <border>
        <left style="thin">
          <color rgb="FFB7C9D6"/>
        </left>
        <right style="thin">
          <color rgb="FFB7C9D6"/>
        </right>
        <top style="thin">
          <color rgb="FFB7C9D6"/>
        </top>
        <bottom style="thin">
          <color rgb="FFB7C9D6"/>
        </bottom>
      </border>
    </dxf>
    <dxf>
      <font>
        <b/>
        <u val="none"/>
        <sz val="10"/>
        <color auto="1"/>
        <name val="Carlito"/>
        <scheme val="none"/>
      </font>
      <numFmt numFmtId="0" formatCode="General"/>
      <fill>
        <patternFill>
          <bgColor indexed="64"/>
        </patternFill>
      </fill>
      <border>
        <left style="thin">
          <color rgb="FFB7C9D6"/>
        </left>
        <right/>
        <top style="thin">
          <color rgb="FFB7C9D6"/>
        </top>
        <bottom style="thin">
          <color rgb="FFB7C9D6"/>
        </bottom>
      </border>
    </dxf>
    <dxf>
      <font>
        <b/>
      </font>
      <fill>
        <patternFill>
          <bgColor indexed="64"/>
        </patternFill>
      </fill>
      <border>
        <left style="thin">
          <color rgb="FFB7C9D6"/>
        </left>
        <right/>
      </border>
    </dxf>
    <dxf>
      <font>
        <b/>
        <u val="none"/>
        <sz val="10"/>
        <color auto="1"/>
        <name val="Carlito"/>
        <scheme val="none"/>
      </font>
      <fill>
        <patternFill>
          <bgColor indexed="64"/>
        </patternFill>
      </fill>
      <border>
        <left style="thin">
          <color rgb="FFB7C9D6"/>
        </left>
        <right style="thin">
          <color rgb="FFB7C9D6"/>
        </right>
        <top style="thin">
          <color rgb="FFB7C9D6"/>
        </top>
        <bottom style="thin">
          <color rgb="FFB7C9D6"/>
        </bottom>
      </border>
    </dxf>
    <dxf>
      <font>
        <b/>
      </font>
      <fill>
        <patternFill>
          <bgColor indexed="64"/>
        </patternFill>
      </fill>
    </dxf>
    <dxf>
      <border>
        <right style="thin">
          <color rgb="FFB7C9D6"/>
        </right>
      </border>
    </dxf>
    <dxf>
      <alignment horizontal="center" vertical="center" textRotation="0" wrapText="1" indent="0" justifyLastLine="0" shrinkToFit="0" readingOrder="0"/>
      <border outline="0">
        <left style="thin">
          <color rgb="FFB7C9D6"/>
        </left>
      </border>
    </dxf>
    <dxf>
      <alignment horizontal="center" vertical="center" textRotation="0" wrapText="1" indent="0" justifyLastLine="0" shrinkToFit="0" readingOrder="0"/>
      <border outline="0">
        <left style="thin">
          <color rgb="FFB7C9D6"/>
        </left>
        <right style="thin">
          <color rgb="FFB7C9D6"/>
        </right>
      </border>
    </dxf>
    <dxf>
      <font>
        <b/>
      </font>
      <alignment horizontal="center" vertical="center" textRotation="0" wrapText="1" indent="0" justifyLastLine="0" shrinkToFit="0" readingOrder="0"/>
      <border outline="0">
        <left style="thin">
          <color rgb="FFB7C9D6"/>
        </left>
        <right style="thin">
          <color rgb="FFB7C9D6"/>
        </right>
      </border>
    </dxf>
    <dxf>
      <fill>
        <patternFill>
          <bgColor indexed="64"/>
        </patternFill>
      </fill>
      <alignment horizontal="center" vertical="center" textRotation="0" wrapText="1" indent="0" justifyLastLine="0" shrinkToFit="0" readingOrder="0"/>
      <border outline="0">
        <right style="thin">
          <color rgb="FFB7C9D6"/>
        </right>
      </border>
    </dxf>
    <dxf>
      <alignment horizontal="center" vertical="center" textRotation="0" wrapText="1" indent="0" justifyLastLine="0" shrinkToFit="0" readingOrder="0"/>
      <border outline="0">
        <right style="thin">
          <color rgb="FFB7C9D6"/>
        </right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</font>
      <border>
        <left style="thin">
          <color rgb="FFB7C9D6"/>
        </left>
      </border>
    </dxf>
    <dxf>
      <fill>
        <patternFill>
          <bgColor indexed="64"/>
        </patternFill>
      </fill>
    </dxf>
    <dxf>
      <border>
        <right style="thin">
          <color rgb="FFB7C9D6"/>
        </right>
      </border>
    </dxf>
    <dxf>
      <font>
        <u val="none"/>
        <sz val="11"/>
        <color auto="1"/>
        <name val="Carlito"/>
        <scheme val="none"/>
      </font>
      <border>
        <left style="thin">
          <color rgb="FFB7C9D6"/>
        </left>
      </border>
    </dxf>
    <dxf>
      <font>
        <b/>
        <u val="none"/>
        <sz val="14"/>
        <color auto="1"/>
        <name val="Carlito"/>
        <scheme val="none"/>
      </font>
      <fill>
        <patternFill>
          <bgColor indexed="64"/>
        </patternFill>
      </fill>
      <border>
        <left style="thin">
          <color rgb="FFB7C9D6"/>
        </left>
        <right style="thin">
          <color rgb="FFB7C9D6"/>
        </right>
        <top style="thin">
          <color rgb="FFB7C9D6"/>
        </top>
        <bottom style="thin">
          <color rgb="FFB7C9D6"/>
        </bottom>
      </border>
    </dxf>
    <dxf>
      <font>
        <b/>
        <u val="none"/>
        <sz val="14"/>
        <color auto="1"/>
        <name val="Carlito"/>
        <scheme val="none"/>
      </font>
      <border>
        <left style="thin">
          <color rgb="FFB7C9D6"/>
        </left>
        <right style="thin">
          <color rgb="FFB7C9D6"/>
        </right>
      </border>
    </dxf>
    <dxf>
      <font>
        <b/>
        <u val="none"/>
        <sz val="14"/>
        <color auto="1"/>
        <name val="Carlito"/>
        <scheme val="none"/>
      </font>
      <border>
        <left style="thin">
          <color rgb="FFB7C9D6"/>
        </left>
        <right style="thin">
          <color rgb="FFB7C9D6"/>
        </right>
      </border>
    </dxf>
    <dxf>
      <font>
        <b/>
        <u val="none"/>
        <sz val="14"/>
        <color auto="1"/>
        <name val="Carlito"/>
        <scheme val="none"/>
      </font>
      <border>
        <left style="thin">
          <color rgb="FFB7C9D6"/>
        </left>
        <right style="thin">
          <color rgb="FFB7C9D6"/>
        </right>
      </border>
    </dxf>
    <dxf>
      <font>
        <b/>
        <u val="none"/>
        <sz val="14"/>
        <color auto="1"/>
        <name val="Carlito"/>
        <scheme val="none"/>
      </font>
      <border>
        <left style="thin">
          <color rgb="FFB7C9D6"/>
        </left>
        <right style="thin">
          <color rgb="FFB7C9D6"/>
        </right>
      </border>
    </dxf>
    <dxf>
      <font>
        <b/>
        <u val="none"/>
        <sz val="14"/>
        <color auto="1"/>
        <name val="Carlito"/>
        <scheme val="none"/>
      </font>
      <border>
        <right style="thin">
          <color rgb="FFB7C9D6"/>
        </right>
      </border>
    </dxf>
    <dxf>
      <font>
        <u val="none"/>
        <sz val="11"/>
        <color auto="1"/>
        <name val="Carlito"/>
        <scheme val="none"/>
      </font>
    </dxf>
    <dxf>
      <font>
        <u val="none"/>
        <sz val="11"/>
        <name val="Carlito"/>
        <scheme val="none"/>
      </font>
    </dxf>
    <dxf>
      <font>
        <u val="none"/>
        <sz val="11"/>
        <name val="Carlito"/>
        <scheme val="none"/>
      </font>
    </dxf>
    <dxf>
      <font>
        <u val="none"/>
        <sz val="11"/>
        <name val="Carlito"/>
        <scheme val="none"/>
      </font>
    </dxf>
    <dxf>
      <font>
        <u val="none"/>
        <sz val="11"/>
        <name val="Carlito"/>
        <scheme val="none"/>
      </font>
    </dxf>
    <dxf>
      <font>
        <u val="none"/>
        <sz val="11"/>
        <name val="Carlito"/>
        <scheme val="none"/>
      </font>
    </dxf>
  </dxfs>
  <tableStyles count="1" defaultTableStyle="TableStyleMedium2" defaultPivotStyle="PivotStyleLight16">
    <tableStyle name="Invisible" pivot="0" table="0" count="0" xr9:uid="{3F42E5BF-D5CA-4728-88EB-973B19F0AD7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25</xdr:row>
      <xdr:rowOff>76200</xdr:rowOff>
    </xdr:from>
    <xdr:to>
      <xdr:col>6</xdr:col>
      <xdr:colOff>38943</xdr:colOff>
      <xdr:row>56</xdr:row>
      <xdr:rowOff>29351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551816-830E-C843-185A-A0B1DA2751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9625" y="5438775"/>
          <a:ext cx="6039693" cy="5563376"/>
        </a:xfrm>
        <a:prstGeom prst="rect">
          <a:avLst/>
        </a:prstGeom>
      </xdr:spPr>
    </xdr:pic>
    <xdr:clientData/>
  </xdr:twoCellAnchor>
  <xdr:twoCellAnchor editAs="oneCell">
    <xdr:from>
      <xdr:col>6</xdr:col>
      <xdr:colOff>38100</xdr:colOff>
      <xdr:row>25</xdr:row>
      <xdr:rowOff>57150</xdr:rowOff>
    </xdr:from>
    <xdr:to>
      <xdr:col>10</xdr:col>
      <xdr:colOff>667512</xdr:colOff>
      <xdr:row>50</xdr:row>
      <xdr:rowOff>124466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D3C90F7-F3D4-224C-725E-C5D0B96F42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48475" y="5419725"/>
          <a:ext cx="5458587" cy="45916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457199</xdr:colOff>
      <xdr:row>92</xdr:row>
      <xdr:rowOff>97971</xdr:rowOff>
    </xdr:from>
    <xdr:to>
      <xdr:col>8</xdr:col>
      <xdr:colOff>304799</xdr:colOff>
      <xdr:row>134</xdr:row>
      <xdr:rowOff>151347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5FB7E7-9309-C7C2-6FF7-8536DEAC10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199" y="26974800"/>
          <a:ext cx="8730343" cy="7368576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Jinko725Datasheet" displayName="tblJinko725Datasheet" ref="A38:D49" totalsRowShown="0" dataDxfId="179">
  <autoFilter ref="A38:D49" xr:uid="{00000000-0009-0000-0100-000001000000}"/>
  <tableColumns count="4">
    <tableColumn id="1" xr3:uid="{00000000-0010-0000-0000-000001000000}" name="Parameter" dataDxfId="178"/>
    <tableColumn id="2" xr3:uid="{00000000-0010-0000-0000-000002000000}" name="Value" dataDxfId="177"/>
    <tableColumn id="3" xr3:uid="{00000000-0010-0000-0000-000003000000}" name="Unit" dataDxfId="176"/>
    <tableColumn id="4" xr3:uid="{00000000-0010-0000-0000-000004000000}" name="Source / engineering note" dataDxfId="17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PVCableODMaster" displayName="tblPVCableODMaster" ref="A3:G11" totalsRowShown="0" dataDxfId="174">
  <autoFilter ref="A3:G11" xr:uid="{00000000-0009-0000-0100-000002000000}"/>
  <tableColumns count="7">
    <tableColumn id="1" xr3:uid="{00000000-0010-0000-0100-000001000000}" name="Cable ID" dataDxfId="173"/>
    <tableColumn id="2" xr3:uid="{00000000-0010-0000-0100-000002000000}" name="Manufacturer" dataDxfId="172"/>
    <tableColumn id="3" xr3:uid="{00000000-0010-0000-0100-000003000000}" name="Cable type" dataDxfId="171"/>
    <tableColumn id="4" xr3:uid="{00000000-0010-0000-0100-000004000000}" name="CSA (mm²)" dataDxfId="170"/>
    <tableColumn id="5" xr3:uid="{00000000-0010-0000-0100-000005000000}" name="OD input (mm)" dataDxfId="169"/>
    <tableColumn id="6" xr3:uid="{00000000-0010-0000-0100-000006000000}" name="Active downstream" dataDxfId="168"/>
    <tableColumn id="7" xr3:uid="{00000000-0010-0000-0100-000007000000}" name="OD source / note" dataDxfId="16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blLadderLinkedView" displayName="tblLadderLinkedView" ref="A38:H42" totalsRowShown="0">
  <autoFilter ref="A38:H42" xr:uid="{00000000-0009-0000-0100-000004000000}"/>
  <tableColumns count="8">
    <tableColumn id="1" xr3:uid="{00000000-0010-0000-0200-000001000000}" name="Cable ID"/>
    <tableColumn id="2" xr3:uid="{00000000-0010-0000-0200-000002000000}" name="CSA (mm²)"/>
    <tableColumn id="3" xr3:uid="{00000000-0010-0000-0200-000003000000}" name="OD linked (mm)"/>
    <tableColumn id="4" xr3:uid="{00000000-0010-0000-0200-000004000000}" name="Direct eligibility" dataDxfId="166"/>
    <tableColumn id="5" xr3:uid="{00000000-0010-0000-0200-000005000000}" name="Width basis (mm)" dataDxfId="165"/>
    <tableColumn id="6" xr3:uid="{00000000-0010-0000-0200-000006000000}" name="Theoretical / width max qty" dataDxfId="164">
      <calculatedColumnFormula>INT(E39/(1.25*C39))</calculatedColumnFormula>
    </tableColumn>
    <tableColumn id="7" xr3:uid="{00000000-0010-0000-0200-000007000000}" name="Width used at max (mm)">
      <calculatedColumnFormula>F39*C39</calculatedColumnFormula>
    </tableColumn>
    <tableColumn id="8" xr3:uid="{00000000-0010-0000-0200-000008000000}" name="Width occupancy">
      <calculatedColumnFormula>IFERROR(G39/E39,"")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tblCableTrayLinkedView" displayName="tblCableTrayLinkedView" ref="A48:H52" totalsRowShown="0" dataDxfId="163">
  <autoFilter ref="A48:H52" xr:uid="{00000000-0009-0000-0100-000005000000}"/>
  <tableColumns count="8">
    <tableColumn id="1" xr3:uid="{00000000-0010-0000-0300-000001000000}" name="Cable ID" dataDxfId="162"/>
    <tableColumn id="2" xr3:uid="{00000000-0010-0000-0300-000002000000}" name="CSA (mm²)" dataDxfId="161"/>
    <tableColumn id="3" xr3:uid="{00000000-0010-0000-0300-000003000000}" name="OD linked (mm)" dataDxfId="160"/>
    <tableColumn id="4" xr3:uid="{00000000-0010-0000-0300-000004000000}" name="Direct eligibility" dataDxfId="159"/>
    <tableColumn id="5" xr3:uid="{00000000-0010-0000-0300-000005000000}" name="Width basis (mm)" dataDxfId="158"/>
    <tableColumn id="6" xr3:uid="{00000000-0010-0000-0300-000006000000}" name="Theoretical / width max qty" dataDxfId="157">
      <calculatedColumnFormula>INT(0.8*E49/C49)</calculatedColumnFormula>
    </tableColumn>
    <tableColumn id="7" xr3:uid="{00000000-0010-0000-0300-000007000000}" name="Width used at max (mm)" dataDxfId="156">
      <calculatedColumnFormula>F49*C49</calculatedColumnFormula>
    </tableColumn>
    <tableColumn id="8" xr3:uid="{00000000-0010-0000-0300-000008000000}" name="Width occupancy" dataDxfId="155">
      <calculatedColumnFormula>IFERROR(G49/E49,"")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4000000}" name="tblWirewayLinkedView" displayName="tblWirewayLinkedView" ref="A34:M38" totalsRowShown="0">
  <autoFilter ref="A34:M38" xr:uid="{00000000-0009-0000-0100-000006000000}"/>
  <tableColumns count="13">
    <tableColumn id="1" xr3:uid="{00000000-0010-0000-0400-000001000000}" name="Cable ID"/>
    <tableColumn id="2" xr3:uid="{00000000-0010-0000-0400-000002000000}" name="CSA (mm²)"/>
    <tableColumn id="3" xr3:uid="{00000000-0010-0000-0400-000003000000}" name="OD linked (mm)"/>
    <tableColumn id="4" xr3:uid="{00000000-0010-0000-0400-000004000000}" name="Area / cable (mm²)" dataDxfId="154">
      <calculatedColumnFormula>PI()*C35^2/4</calculatedColumnFormula>
    </tableColumn>
    <tableColumn id="5" xr3:uid="{00000000-0010-0000-0400-000005000000}" name="Max qty @20% area" dataDxfId="153">
      <calculatedColumnFormula>INT($B$32*$B$30*$B$31/D35)</calculatedColumnFormula>
    </tableColumn>
    <tableColumn id="17" xr3:uid="{00000000-0010-0000-0400-000011000000}" name="Max String @20% area" dataDxfId="152">
      <calculatedColumnFormula>INT(tblWirewayLinkedView[[#This Row],[Max qty @20% area]]/2)</calculatedColumnFormula>
    </tableColumn>
    <tableColumn id="6" xr3:uid="{00000000-0010-0000-0400-000006000000}" name="Max qty @0.8W" dataDxfId="151">
      <calculatedColumnFormula>INT($B$33*$B$30/C35)</calculatedColumnFormula>
    </tableColumn>
    <tableColumn id="16" xr3:uid="{00000000-0010-0000-0400-000010000000}" name="Max String @0.8W" dataDxfId="150">
      <calculatedColumnFormula>INT(tblWirewayLinkedView[[#This Row],[Max qty @0.8W]]/2)</calculatedColumnFormula>
    </tableColumn>
    <tableColumn id="15" xr3:uid="{00000000-0010-0000-0400-00000F000000}" name="CCC checkpoint" dataDxfId="149">
      <calculatedColumnFormula>IF(MAX(G35)&gt;30,"DERATING CHECK &gt;30 CCC","&lt;=30 CCC SCREEN")</calculatedColumnFormula>
    </tableColumn>
    <tableColumn id="7" xr3:uid="{00000000-0010-0000-0400-000007000000}" name="Selected qty" dataDxfId="148"/>
    <tableColumn id="8" xr3:uid="{00000000-0010-0000-0400-000008000000}" name="Area fill %">
      <calculatedColumnFormula>IFERROR(J35*D35/($B$30*$B$31),"")</calculatedColumnFormula>
    </tableColumn>
    <tableColumn id="9" xr3:uid="{00000000-0010-0000-0400-000009000000}" name="ΣD / W %" dataDxfId="147">
      <calculatedColumnFormula>IFERROR(J35*C35/$B$30,"")</calculatedColumnFormula>
    </tableColumn>
    <tableColumn id="10" xr3:uid="{00000000-0010-0000-0400-00000A000000}" name="Combined status" dataDxfId="146">
      <calculatedColumnFormula>IF(AND(K35&lt;=$B$32,L35&lt;=$B$33),"PASS","CHECK")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15"/>
  <sheetViews>
    <sheetView showGridLines="0" topLeftCell="A17" workbookViewId="0">
      <selection activeCell="B27" sqref="B27"/>
    </sheetView>
  </sheetViews>
  <sheetFormatPr defaultRowHeight="13.8"/>
  <cols>
    <col min="1" max="1" width="28" customWidth="1"/>
    <col min="2" max="2" width="130" customWidth="1"/>
    <col min="3" max="8" width="12" customWidth="1"/>
  </cols>
  <sheetData>
    <row r="1" spans="1:8" ht="30" customHeight="1">
      <c r="A1" s="205" t="s">
        <v>0</v>
      </c>
      <c r="B1" s="205" t="s">
        <v>1</v>
      </c>
      <c r="C1" s="205" t="s">
        <v>1</v>
      </c>
      <c r="D1" s="205" t="s">
        <v>1</v>
      </c>
      <c r="E1" s="205" t="s">
        <v>1</v>
      </c>
      <c r="F1" s="205" t="s">
        <v>1</v>
      </c>
      <c r="G1" s="205" t="s">
        <v>1</v>
      </c>
      <c r="H1" s="205" t="s">
        <v>1</v>
      </c>
    </row>
    <row r="2" spans="1:8">
      <c r="A2" s="2"/>
      <c r="B2" s="2"/>
      <c r="C2" s="2"/>
      <c r="D2" s="2"/>
      <c r="E2" s="2"/>
      <c r="F2" s="2"/>
      <c r="G2" s="2"/>
      <c r="H2" s="2"/>
    </row>
    <row r="3" spans="1:8">
      <c r="A3" s="1" t="s">
        <v>2</v>
      </c>
      <c r="B3" s="1" t="s">
        <v>3</v>
      </c>
      <c r="C3" s="2"/>
      <c r="D3" s="2"/>
      <c r="E3" s="2"/>
      <c r="F3" s="2"/>
      <c r="G3" s="2"/>
      <c r="H3" s="2"/>
    </row>
    <row r="4" spans="1:8">
      <c r="A4" s="3" t="s">
        <v>4</v>
      </c>
      <c r="B4" s="4" t="s">
        <v>5</v>
      </c>
      <c r="C4" s="2"/>
      <c r="D4" s="2"/>
      <c r="E4" s="2"/>
      <c r="F4" s="2"/>
      <c r="G4" s="2"/>
      <c r="H4" s="2"/>
    </row>
    <row r="5" spans="1:8">
      <c r="A5" s="3" t="s">
        <v>6</v>
      </c>
      <c r="B5" s="5" t="s">
        <v>7</v>
      </c>
      <c r="C5" s="2"/>
      <c r="D5" s="2"/>
      <c r="E5" s="2"/>
      <c r="F5" s="2"/>
      <c r="G5" s="2"/>
      <c r="H5" s="2"/>
    </row>
    <row r="6" spans="1:8">
      <c r="A6" s="3" t="s">
        <v>8</v>
      </c>
      <c r="B6" s="5" t="s">
        <v>9</v>
      </c>
      <c r="C6" s="2"/>
      <c r="D6" s="2"/>
      <c r="E6" s="2"/>
      <c r="F6" s="2"/>
      <c r="G6" s="2"/>
      <c r="H6" s="2"/>
    </row>
    <row r="7" spans="1:8" ht="27.6">
      <c r="A7" s="3" t="s">
        <v>10</v>
      </c>
      <c r="B7" s="5" t="s">
        <v>11</v>
      </c>
      <c r="C7" s="2"/>
      <c r="D7" s="2"/>
      <c r="E7" s="2"/>
      <c r="F7" s="2"/>
      <c r="G7" s="2"/>
      <c r="H7" s="2"/>
    </row>
    <row r="8" spans="1:8">
      <c r="A8" s="3" t="s">
        <v>12</v>
      </c>
      <c r="B8" s="5" t="s">
        <v>13</v>
      </c>
      <c r="C8" s="2"/>
      <c r="D8" s="2"/>
      <c r="E8" s="2"/>
      <c r="F8" s="2"/>
      <c r="G8" s="2"/>
      <c r="H8" s="2"/>
    </row>
    <row r="9" spans="1:8">
      <c r="A9" s="3" t="s">
        <v>14</v>
      </c>
      <c r="B9" s="5" t="s">
        <v>15</v>
      </c>
      <c r="C9" s="2"/>
      <c r="D9" s="2"/>
      <c r="E9" s="2"/>
      <c r="F9" s="2"/>
      <c r="G9" s="2"/>
      <c r="H9" s="2"/>
    </row>
    <row r="10" spans="1:8" ht="27.6">
      <c r="A10" s="3" t="s">
        <v>16</v>
      </c>
      <c r="B10" s="5" t="s">
        <v>17</v>
      </c>
      <c r="C10" s="2"/>
      <c r="D10" s="2"/>
      <c r="E10" s="2"/>
      <c r="F10" s="2"/>
      <c r="G10" s="2"/>
      <c r="H10" s="2"/>
    </row>
    <row r="11" spans="1:8">
      <c r="A11" s="59" t="s">
        <v>18</v>
      </c>
      <c r="B11" s="60" t="s">
        <v>19</v>
      </c>
    </row>
    <row r="12" spans="1:8">
      <c r="A12" s="59" t="s">
        <v>20</v>
      </c>
      <c r="B12" s="60" t="s">
        <v>21</v>
      </c>
    </row>
    <row r="13" spans="1:8">
      <c r="A13" s="59" t="s">
        <v>22</v>
      </c>
      <c r="B13" s="60" t="s">
        <v>23</v>
      </c>
    </row>
    <row r="14" spans="1:8">
      <c r="A14" s="59" t="s">
        <v>24</v>
      </c>
      <c r="B14" s="60" t="s">
        <v>25</v>
      </c>
    </row>
    <row r="15" spans="1:8">
      <c r="A15" s="59" t="s">
        <v>26</v>
      </c>
      <c r="B15" s="60" t="s">
        <v>27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G14"/>
  <sheetViews>
    <sheetView showGridLines="0" workbookViewId="0">
      <selection activeCell="D21" sqref="D21"/>
    </sheetView>
  </sheetViews>
  <sheetFormatPr defaultRowHeight="13.8"/>
  <cols>
    <col min="1" max="1" width="12.5" customWidth="1"/>
    <col min="2" max="2" width="16.19921875" customWidth="1"/>
    <col min="3" max="3" width="42.5" customWidth="1"/>
    <col min="4" max="4" width="20" customWidth="1"/>
    <col min="5" max="5" width="45" customWidth="1"/>
    <col min="6" max="6" width="37.5" customWidth="1"/>
    <col min="7" max="7" width="16.19921875" customWidth="1"/>
  </cols>
  <sheetData>
    <row r="1" spans="1:7" ht="27.9" customHeight="1">
      <c r="A1" s="196" t="s">
        <v>28</v>
      </c>
      <c r="B1" s="196" t="s">
        <v>28</v>
      </c>
      <c r="C1" s="196" t="s">
        <v>28</v>
      </c>
      <c r="D1" s="196" t="s">
        <v>28</v>
      </c>
      <c r="E1" s="196" t="s">
        <v>28</v>
      </c>
      <c r="F1" s="196" t="s">
        <v>28</v>
      </c>
      <c r="G1" s="196" t="s">
        <v>28</v>
      </c>
    </row>
    <row r="3" spans="1:7">
      <c r="A3" s="9" t="s">
        <v>29</v>
      </c>
      <c r="B3" s="9" t="s">
        <v>30</v>
      </c>
      <c r="C3" s="9" t="s">
        <v>31</v>
      </c>
      <c r="D3" s="9" t="s">
        <v>32</v>
      </c>
      <c r="E3" s="9" t="s">
        <v>33</v>
      </c>
      <c r="F3" s="9" t="s">
        <v>34</v>
      </c>
      <c r="G3" s="9" t="s">
        <v>35</v>
      </c>
    </row>
    <row r="4" spans="1:7" ht="27.6">
      <c r="A4" s="11" t="s">
        <v>36</v>
      </c>
      <c r="B4" s="10" t="s">
        <v>37</v>
      </c>
      <c r="C4" s="10" t="s">
        <v>38</v>
      </c>
      <c r="D4" s="12" t="s">
        <v>39</v>
      </c>
      <c r="E4" s="10" t="s">
        <v>40</v>
      </c>
      <c r="F4" s="10" t="s">
        <v>41</v>
      </c>
      <c r="G4" s="13" t="s">
        <v>42</v>
      </c>
    </row>
    <row r="5" spans="1:7" ht="27.6">
      <c r="A5" s="11" t="s">
        <v>43</v>
      </c>
      <c r="B5" s="10" t="s">
        <v>37</v>
      </c>
      <c r="C5" s="10" t="s">
        <v>44</v>
      </c>
      <c r="D5" s="12" t="s">
        <v>45</v>
      </c>
      <c r="E5" s="10" t="s">
        <v>46</v>
      </c>
      <c r="F5" s="10" t="s">
        <v>47</v>
      </c>
      <c r="G5" s="13" t="s">
        <v>42</v>
      </c>
    </row>
    <row r="6" spans="1:7" ht="27.6">
      <c r="A6" s="11" t="s">
        <v>48</v>
      </c>
      <c r="B6" s="10" t="s">
        <v>37</v>
      </c>
      <c r="C6" s="10" t="s">
        <v>49</v>
      </c>
      <c r="D6" s="12" t="s">
        <v>50</v>
      </c>
      <c r="E6" s="10" t="s">
        <v>51</v>
      </c>
      <c r="F6" s="10" t="s">
        <v>52</v>
      </c>
      <c r="G6" s="13" t="s">
        <v>53</v>
      </c>
    </row>
    <row r="7" spans="1:7" ht="27.6">
      <c r="A7" s="11" t="s">
        <v>54</v>
      </c>
      <c r="B7" s="10" t="s">
        <v>37</v>
      </c>
      <c r="C7" s="10" t="s">
        <v>55</v>
      </c>
      <c r="D7" s="12" t="s">
        <v>56</v>
      </c>
      <c r="E7" s="10" t="s">
        <v>57</v>
      </c>
      <c r="F7" s="10" t="s">
        <v>47</v>
      </c>
      <c r="G7" s="13" t="s">
        <v>42</v>
      </c>
    </row>
    <row r="8" spans="1:7" ht="27.6">
      <c r="A8" s="11" t="s">
        <v>58</v>
      </c>
      <c r="B8" s="10" t="s">
        <v>59</v>
      </c>
      <c r="C8" s="10" t="s">
        <v>60</v>
      </c>
      <c r="D8" s="12" t="s">
        <v>61</v>
      </c>
      <c r="E8" s="10" t="s">
        <v>62</v>
      </c>
      <c r="F8" s="10" t="s">
        <v>63</v>
      </c>
      <c r="G8" s="13" t="s">
        <v>64</v>
      </c>
    </row>
    <row r="9" spans="1:7" ht="27.6">
      <c r="A9" s="11" t="s">
        <v>65</v>
      </c>
      <c r="B9" s="10" t="s">
        <v>66</v>
      </c>
      <c r="C9" s="10" t="s">
        <v>67</v>
      </c>
      <c r="D9" s="12" t="s">
        <v>68</v>
      </c>
      <c r="E9" s="10" t="s">
        <v>69</v>
      </c>
      <c r="F9" s="10" t="s">
        <v>70</v>
      </c>
      <c r="G9" s="13" t="s">
        <v>42</v>
      </c>
    </row>
    <row r="10" spans="1:7" ht="41.4">
      <c r="A10" s="11" t="s">
        <v>71</v>
      </c>
      <c r="B10" s="10" t="s">
        <v>66</v>
      </c>
      <c r="C10" s="10" t="s">
        <v>72</v>
      </c>
      <c r="D10" s="12" t="s">
        <v>73</v>
      </c>
      <c r="E10" s="10" t="s">
        <v>74</v>
      </c>
      <c r="F10" s="10" t="s">
        <v>75</v>
      </c>
      <c r="G10" s="13" t="s">
        <v>76</v>
      </c>
    </row>
    <row r="11" spans="1:7" ht="27.6">
      <c r="A11" s="11" t="s">
        <v>77</v>
      </c>
      <c r="B11" s="10" t="s">
        <v>66</v>
      </c>
      <c r="C11" s="10" t="s">
        <v>78</v>
      </c>
      <c r="D11" s="12" t="s">
        <v>79</v>
      </c>
      <c r="E11" s="10" t="s">
        <v>80</v>
      </c>
      <c r="F11" s="10" t="s">
        <v>81</v>
      </c>
      <c r="G11" s="13" t="s">
        <v>76</v>
      </c>
    </row>
    <row r="12" spans="1:7" ht="27.6">
      <c r="A12" s="11" t="s">
        <v>82</v>
      </c>
      <c r="B12" s="10" t="s">
        <v>66</v>
      </c>
      <c r="C12" s="10" t="s">
        <v>83</v>
      </c>
      <c r="D12" s="12" t="s">
        <v>84</v>
      </c>
      <c r="E12" s="10" t="s">
        <v>85</v>
      </c>
      <c r="F12" s="10" t="s">
        <v>86</v>
      </c>
      <c r="G12" s="13" t="s">
        <v>42</v>
      </c>
    </row>
    <row r="13" spans="1:7" ht="27.6">
      <c r="A13" s="11" t="s">
        <v>87</v>
      </c>
      <c r="B13" s="10" t="s">
        <v>66</v>
      </c>
      <c r="C13" s="10" t="s">
        <v>88</v>
      </c>
      <c r="D13" s="12" t="s">
        <v>89</v>
      </c>
      <c r="E13" s="10" t="s">
        <v>90</v>
      </c>
      <c r="F13" s="10" t="s">
        <v>91</v>
      </c>
      <c r="G13" s="13" t="s">
        <v>92</v>
      </c>
    </row>
    <row r="14" spans="1:7" ht="27.6">
      <c r="A14" s="11" t="s">
        <v>93</v>
      </c>
      <c r="B14" s="10" t="s">
        <v>94</v>
      </c>
      <c r="C14" s="10" t="s">
        <v>95</v>
      </c>
      <c r="D14" s="12" t="s">
        <v>96</v>
      </c>
      <c r="E14" s="10" t="s">
        <v>97</v>
      </c>
      <c r="F14" s="10" t="s">
        <v>98</v>
      </c>
      <c r="G14" s="13" t="s">
        <v>53</v>
      </c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B050"/>
  </sheetPr>
  <dimension ref="A1:Q13"/>
  <sheetViews>
    <sheetView showGridLines="0" workbookViewId="0">
      <selection activeCell="L18" sqref="L18"/>
    </sheetView>
  </sheetViews>
  <sheetFormatPr defaultRowHeight="13.8"/>
  <cols>
    <col min="1" max="1" width="9.5" customWidth="1"/>
    <col min="2" max="2" width="16.09765625" customWidth="1"/>
    <col min="3" max="3" width="9.59765625" customWidth="1"/>
    <col min="4" max="4" width="10.69921875" customWidth="1"/>
    <col min="5" max="5" width="13.5" customWidth="1"/>
    <col min="6" max="6" width="14.19921875" customWidth="1"/>
    <col min="7" max="7" width="11.8984375" customWidth="1"/>
    <col min="8" max="8" width="15" customWidth="1"/>
    <col min="9" max="9" width="14.69921875" customWidth="1"/>
    <col min="10" max="10" width="14.19921875" customWidth="1"/>
    <col min="11" max="11" width="13.19921875" customWidth="1"/>
    <col min="12" max="12" width="14.8984375" customWidth="1"/>
    <col min="13" max="13" width="13.3984375" customWidth="1"/>
    <col min="14" max="14" width="12.5" customWidth="1"/>
    <col min="15" max="15" width="42" customWidth="1"/>
    <col min="16" max="16" width="24.3984375" customWidth="1"/>
    <col min="17" max="17" width="47.3984375" customWidth="1"/>
  </cols>
  <sheetData>
    <row r="1" spans="1:17" ht="30" customHeight="1">
      <c r="A1" s="205" t="s">
        <v>99</v>
      </c>
      <c r="B1" s="205" t="s">
        <v>99</v>
      </c>
      <c r="C1" s="205" t="s">
        <v>99</v>
      </c>
      <c r="D1" s="205" t="s">
        <v>99</v>
      </c>
      <c r="E1" s="205" t="s">
        <v>99</v>
      </c>
      <c r="F1" s="205" t="s">
        <v>99</v>
      </c>
      <c r="G1" s="205" t="s">
        <v>99</v>
      </c>
      <c r="H1" s="205" t="s">
        <v>99</v>
      </c>
      <c r="I1" s="205" t="s">
        <v>99</v>
      </c>
      <c r="J1" s="205" t="s">
        <v>99</v>
      </c>
      <c r="K1" s="205" t="s">
        <v>99</v>
      </c>
      <c r="L1" s="205" t="s">
        <v>99</v>
      </c>
      <c r="M1" s="205" t="s">
        <v>99</v>
      </c>
      <c r="N1" s="205" t="s">
        <v>99</v>
      </c>
      <c r="O1" s="205" t="s">
        <v>99</v>
      </c>
      <c r="P1" s="205" t="s">
        <v>99</v>
      </c>
      <c r="Q1" s="205" t="s">
        <v>99</v>
      </c>
    </row>
    <row r="2" spans="1:17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ht="41.4">
      <c r="A3" s="1" t="s">
        <v>100</v>
      </c>
      <c r="B3" s="1" t="s">
        <v>101</v>
      </c>
      <c r="C3" s="1" t="s">
        <v>102</v>
      </c>
      <c r="D3" s="1" t="s">
        <v>103</v>
      </c>
      <c r="E3" s="1" t="s">
        <v>104</v>
      </c>
      <c r="F3" s="1" t="s">
        <v>105</v>
      </c>
      <c r="G3" s="1" t="s">
        <v>106</v>
      </c>
      <c r="H3" s="1" t="s">
        <v>107</v>
      </c>
      <c r="I3" s="1" t="s">
        <v>108</v>
      </c>
      <c r="J3" s="1" t="s">
        <v>109</v>
      </c>
      <c r="K3" s="1" t="s">
        <v>110</v>
      </c>
      <c r="L3" s="1" t="s">
        <v>111</v>
      </c>
      <c r="M3" s="1" t="s">
        <v>112</v>
      </c>
      <c r="N3" s="1" t="s">
        <v>113</v>
      </c>
      <c r="O3" s="1" t="s">
        <v>114</v>
      </c>
      <c r="P3" s="1" t="s">
        <v>115</v>
      </c>
      <c r="Q3" s="1" t="s">
        <v>116</v>
      </c>
    </row>
    <row r="4" spans="1:17" ht="24.9" customHeight="1">
      <c r="A4" s="5" t="s">
        <v>117</v>
      </c>
      <c r="B4" s="5" t="s">
        <v>118</v>
      </c>
      <c r="C4" s="5" t="s">
        <v>119</v>
      </c>
      <c r="D4" s="23" t="s">
        <v>120</v>
      </c>
      <c r="E4" s="24">
        <v>20.7</v>
      </c>
      <c r="F4" s="24">
        <v>1.79</v>
      </c>
      <c r="G4" s="25">
        <v>3030</v>
      </c>
      <c r="H4" s="25">
        <v>2.85</v>
      </c>
      <c r="I4" s="25">
        <v>10</v>
      </c>
      <c r="J4" s="25">
        <v>300</v>
      </c>
      <c r="K4" s="26">
        <f t="shared" ref="K4:K13" si="0">E4-2*F4</f>
        <v>17.119999999999997</v>
      </c>
      <c r="L4" s="26">
        <f t="shared" ref="L4:L13" si="1">PI()*K4^2/4</f>
        <v>230.19580346207698</v>
      </c>
      <c r="M4" s="110">
        <v>17.119999999999997</v>
      </c>
      <c r="N4" s="111">
        <f t="shared" ref="N4:N13" si="2">IF(M4="","",PI()*M4^2/4)</f>
        <v>230.19580346207698</v>
      </c>
      <c r="O4" s="5" t="s">
        <v>121</v>
      </c>
      <c r="P4" s="5" t="s">
        <v>122</v>
      </c>
      <c r="Q4" s="5" t="s">
        <v>123</v>
      </c>
    </row>
    <row r="5" spans="1:17" ht="24.9" customHeight="1">
      <c r="A5" s="5" t="s">
        <v>117</v>
      </c>
      <c r="B5" s="5" t="s">
        <v>118</v>
      </c>
      <c r="C5" s="5" t="s">
        <v>124</v>
      </c>
      <c r="D5" s="23" t="s">
        <v>125</v>
      </c>
      <c r="E5" s="24">
        <v>26.14</v>
      </c>
      <c r="F5" s="24">
        <v>1.9</v>
      </c>
      <c r="G5" s="25">
        <v>3030</v>
      </c>
      <c r="H5" s="25">
        <v>3.94</v>
      </c>
      <c r="I5" s="25">
        <v>5</v>
      </c>
      <c r="J5" s="25">
        <v>250</v>
      </c>
      <c r="K5" s="26">
        <f t="shared" si="0"/>
        <v>22.34</v>
      </c>
      <c r="L5" s="26">
        <f t="shared" si="1"/>
        <v>391.97305963647955</v>
      </c>
      <c r="M5" s="110">
        <v>22.34</v>
      </c>
      <c r="N5" s="111">
        <f t="shared" si="2"/>
        <v>391.97305963647955</v>
      </c>
      <c r="O5" s="5" t="s">
        <v>121</v>
      </c>
      <c r="P5" s="5" t="s">
        <v>122</v>
      </c>
      <c r="Q5" s="5" t="s">
        <v>123</v>
      </c>
    </row>
    <row r="6" spans="1:17" ht="24.9" customHeight="1">
      <c r="A6" s="5" t="s">
        <v>117</v>
      </c>
      <c r="B6" s="5" t="s">
        <v>118</v>
      </c>
      <c r="C6" s="5" t="s">
        <v>126</v>
      </c>
      <c r="D6" s="23" t="s">
        <v>127</v>
      </c>
      <c r="E6" s="24">
        <v>32.770000000000003</v>
      </c>
      <c r="F6" s="24">
        <v>2.16</v>
      </c>
      <c r="G6" s="25">
        <v>3025</v>
      </c>
      <c r="H6" s="25">
        <v>5.23</v>
      </c>
      <c r="I6" s="25">
        <v>5</v>
      </c>
      <c r="J6" s="25">
        <v>125</v>
      </c>
      <c r="K6" s="26">
        <f t="shared" si="0"/>
        <v>28.450000000000003</v>
      </c>
      <c r="L6" s="26">
        <f t="shared" si="1"/>
        <v>635.70323694930323</v>
      </c>
      <c r="M6" s="110">
        <v>28.450000000000003</v>
      </c>
      <c r="N6" s="111">
        <f t="shared" si="2"/>
        <v>635.70323694930323</v>
      </c>
      <c r="O6" s="5" t="s">
        <v>121</v>
      </c>
      <c r="P6" s="5" t="s">
        <v>122</v>
      </c>
      <c r="Q6" s="5" t="s">
        <v>123</v>
      </c>
    </row>
    <row r="7" spans="1:17" ht="24.9" customHeight="1">
      <c r="A7" s="5" t="s">
        <v>117</v>
      </c>
      <c r="B7" s="5" t="s">
        <v>118</v>
      </c>
      <c r="C7" s="5" t="s">
        <v>128</v>
      </c>
      <c r="D7" s="23" t="s">
        <v>129</v>
      </c>
      <c r="E7" s="24">
        <v>41.59</v>
      </c>
      <c r="F7" s="24">
        <v>2.16</v>
      </c>
      <c r="G7" s="25">
        <v>3025</v>
      </c>
      <c r="H7" s="25">
        <v>7.48</v>
      </c>
      <c r="I7" s="25">
        <v>3</v>
      </c>
      <c r="J7" s="25">
        <v>75</v>
      </c>
      <c r="K7" s="26">
        <f t="shared" si="0"/>
        <v>37.270000000000003</v>
      </c>
      <c r="L7" s="26">
        <f t="shared" si="1"/>
        <v>1090.9595965218996</v>
      </c>
      <c r="M7" s="110">
        <v>37.270000000000003</v>
      </c>
      <c r="N7" s="111">
        <f t="shared" si="2"/>
        <v>1090.9595965218996</v>
      </c>
      <c r="O7" s="5" t="s">
        <v>121</v>
      </c>
      <c r="P7" s="5" t="s">
        <v>122</v>
      </c>
      <c r="Q7" s="5" t="s">
        <v>123</v>
      </c>
    </row>
    <row r="8" spans="1:17" ht="24.9" customHeight="1">
      <c r="A8" s="5" t="s">
        <v>117</v>
      </c>
      <c r="B8" s="5" t="s">
        <v>118</v>
      </c>
      <c r="C8" s="5" t="s">
        <v>130</v>
      </c>
      <c r="D8" s="23" t="s">
        <v>131</v>
      </c>
      <c r="E8" s="24">
        <v>47.81</v>
      </c>
      <c r="F8" s="24">
        <v>2.29</v>
      </c>
      <c r="G8" s="25">
        <v>3025</v>
      </c>
      <c r="H8" s="25">
        <v>8.67</v>
      </c>
      <c r="I8" s="25">
        <v>3</v>
      </c>
      <c r="J8" s="25">
        <v>75</v>
      </c>
      <c r="K8" s="26">
        <f t="shared" si="0"/>
        <v>43.230000000000004</v>
      </c>
      <c r="L8" s="26">
        <f t="shared" si="1"/>
        <v>1467.7779273567273</v>
      </c>
      <c r="M8" s="110">
        <v>43.230000000000004</v>
      </c>
      <c r="N8" s="111">
        <f t="shared" si="2"/>
        <v>1467.7779273567273</v>
      </c>
      <c r="O8" s="5" t="s">
        <v>121</v>
      </c>
      <c r="P8" s="5" t="s">
        <v>122</v>
      </c>
      <c r="Q8" s="5" t="s">
        <v>123</v>
      </c>
    </row>
    <row r="9" spans="1:17" ht="24.9" customHeight="1">
      <c r="A9" s="5" t="s">
        <v>117</v>
      </c>
      <c r="B9" s="5" t="s">
        <v>118</v>
      </c>
      <c r="C9" s="5" t="s">
        <v>132</v>
      </c>
      <c r="D9" s="23" t="s">
        <v>133</v>
      </c>
      <c r="E9" s="24">
        <v>59.93</v>
      </c>
      <c r="F9" s="24">
        <v>2.41</v>
      </c>
      <c r="G9" s="25">
        <v>3025</v>
      </c>
      <c r="H9" s="25">
        <v>11.65</v>
      </c>
      <c r="I9" s="25"/>
      <c r="J9" s="25">
        <v>50</v>
      </c>
      <c r="K9" s="26">
        <f t="shared" si="0"/>
        <v>55.11</v>
      </c>
      <c r="L9" s="26">
        <f t="shared" si="1"/>
        <v>2385.3422653721673</v>
      </c>
      <c r="M9" s="110">
        <v>55.11</v>
      </c>
      <c r="N9" s="111">
        <f t="shared" si="2"/>
        <v>2385.3422653721673</v>
      </c>
      <c r="O9" s="5" t="s">
        <v>121</v>
      </c>
      <c r="P9" s="5" t="s">
        <v>122</v>
      </c>
      <c r="Q9" s="5" t="s">
        <v>123</v>
      </c>
    </row>
    <row r="10" spans="1:17" ht="24.9" customHeight="1">
      <c r="A10" s="5" t="s">
        <v>117</v>
      </c>
      <c r="B10" s="5" t="s">
        <v>118</v>
      </c>
      <c r="C10" s="5" t="s">
        <v>134</v>
      </c>
      <c r="D10" s="23" t="s">
        <v>135</v>
      </c>
      <c r="E10" s="24">
        <v>72.56</v>
      </c>
      <c r="F10" s="24">
        <v>3.56</v>
      </c>
      <c r="G10" s="25">
        <v>3010</v>
      </c>
      <c r="H10" s="25">
        <v>18.71</v>
      </c>
      <c r="I10" s="25"/>
      <c r="J10" s="25">
        <v>40</v>
      </c>
      <c r="K10" s="26">
        <f t="shared" si="0"/>
        <v>65.44</v>
      </c>
      <c r="L10" s="26">
        <f t="shared" si="1"/>
        <v>3363.3840683849862</v>
      </c>
      <c r="M10" s="110">
        <v>65.44</v>
      </c>
      <c r="N10" s="111">
        <f t="shared" si="2"/>
        <v>3363.3840683849862</v>
      </c>
      <c r="O10" s="5" t="s">
        <v>121</v>
      </c>
      <c r="P10" s="5" t="s">
        <v>122</v>
      </c>
      <c r="Q10" s="5" t="s">
        <v>123</v>
      </c>
    </row>
    <row r="11" spans="1:17" ht="24.9" customHeight="1">
      <c r="A11" s="5" t="s">
        <v>117</v>
      </c>
      <c r="B11" s="5" t="s">
        <v>118</v>
      </c>
      <c r="C11" s="5" t="s">
        <v>136</v>
      </c>
      <c r="D11" s="23" t="s">
        <v>137</v>
      </c>
      <c r="E11" s="24">
        <v>88.29</v>
      </c>
      <c r="F11" s="24">
        <v>3.56</v>
      </c>
      <c r="G11" s="25">
        <v>3010</v>
      </c>
      <c r="H11" s="25">
        <v>22.87</v>
      </c>
      <c r="I11" s="25"/>
      <c r="J11" s="25">
        <v>30</v>
      </c>
      <c r="K11" s="26">
        <f t="shared" si="0"/>
        <v>81.17</v>
      </c>
      <c r="L11" s="26">
        <f t="shared" si="1"/>
        <v>5174.6499134775459</v>
      </c>
      <c r="M11" s="110">
        <v>81.17</v>
      </c>
      <c r="N11" s="111">
        <f t="shared" si="2"/>
        <v>5174.6499134775459</v>
      </c>
      <c r="O11" s="5" t="s">
        <v>121</v>
      </c>
      <c r="P11" s="5" t="s">
        <v>122</v>
      </c>
      <c r="Q11" s="5" t="s">
        <v>123</v>
      </c>
    </row>
    <row r="12" spans="1:17" ht="24.9" customHeight="1">
      <c r="A12" s="5" t="s">
        <v>117</v>
      </c>
      <c r="B12" s="5" t="s">
        <v>118</v>
      </c>
      <c r="C12" s="5" t="s">
        <v>138</v>
      </c>
      <c r="D12" s="23" t="s">
        <v>139</v>
      </c>
      <c r="E12" s="24">
        <v>100.86</v>
      </c>
      <c r="F12" s="24">
        <v>3.56</v>
      </c>
      <c r="G12" s="25">
        <v>3005</v>
      </c>
      <c r="H12" s="25">
        <v>26.43</v>
      </c>
      <c r="I12" s="25"/>
      <c r="J12" s="25">
        <v>20</v>
      </c>
      <c r="K12" s="26">
        <f t="shared" si="0"/>
        <v>93.74</v>
      </c>
      <c r="L12" s="26">
        <f t="shared" si="1"/>
        <v>6901.4410024688304</v>
      </c>
      <c r="M12" s="110">
        <v>93.74</v>
      </c>
      <c r="N12" s="111">
        <f t="shared" si="2"/>
        <v>6901.4410024688304</v>
      </c>
      <c r="O12" s="5" t="s">
        <v>121</v>
      </c>
      <c r="P12" s="5" t="s">
        <v>122</v>
      </c>
      <c r="Q12" s="5" t="s">
        <v>123</v>
      </c>
    </row>
    <row r="13" spans="1:17" ht="24.9" customHeight="1">
      <c r="A13" s="5" t="s">
        <v>117</v>
      </c>
      <c r="B13" s="5" t="s">
        <v>118</v>
      </c>
      <c r="C13" s="5" t="s">
        <v>140</v>
      </c>
      <c r="D13" s="23" t="s">
        <v>141</v>
      </c>
      <c r="E13" s="24">
        <v>113.4</v>
      </c>
      <c r="F13" s="24">
        <v>3.56</v>
      </c>
      <c r="G13" s="25">
        <v>3005</v>
      </c>
      <c r="H13" s="25">
        <v>29.84</v>
      </c>
      <c r="I13" s="25"/>
      <c r="J13" s="25">
        <v>15</v>
      </c>
      <c r="K13" s="26">
        <f t="shared" si="0"/>
        <v>106.28</v>
      </c>
      <c r="L13" s="26">
        <f t="shared" si="1"/>
        <v>8871.4165741290126</v>
      </c>
      <c r="M13" s="110">
        <v>106.28</v>
      </c>
      <c r="N13" s="111">
        <f t="shared" si="2"/>
        <v>8871.4165741290126</v>
      </c>
      <c r="O13" s="5" t="s">
        <v>121</v>
      </c>
      <c r="P13" s="5" t="s">
        <v>122</v>
      </c>
      <c r="Q13" s="5" t="s">
        <v>123</v>
      </c>
    </row>
  </sheetData>
  <mergeCells count="1">
    <mergeCell ref="A1:Q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B050"/>
  </sheetPr>
  <dimension ref="A1:P12"/>
  <sheetViews>
    <sheetView showGridLines="0" workbookViewId="0">
      <selection activeCell="H18" sqref="H18"/>
    </sheetView>
  </sheetViews>
  <sheetFormatPr defaultRowHeight="13.8"/>
  <cols>
    <col min="1" max="1" width="6.19921875" customWidth="1"/>
    <col min="2" max="2" width="11.19921875" customWidth="1"/>
    <col min="3" max="3" width="16" customWidth="1"/>
    <col min="4" max="4" width="16.59765625" customWidth="1"/>
    <col min="5" max="5" width="13.59765625" customWidth="1"/>
    <col min="6" max="6" width="15.09765625" customWidth="1"/>
    <col min="7" max="7" width="23" customWidth="1"/>
    <col min="8" max="8" width="20.3984375" customWidth="1"/>
    <col min="9" max="9" width="23.09765625" customWidth="1"/>
    <col min="10" max="10" width="16.8984375" customWidth="1"/>
    <col min="11" max="11" width="13" customWidth="1"/>
    <col min="12" max="12" width="14" customWidth="1"/>
    <col min="13" max="13" width="23" customWidth="1"/>
    <col min="14" max="14" width="17.5" customWidth="1"/>
    <col min="15" max="15" width="6.5" customWidth="1"/>
    <col min="16" max="16" width="30.69921875" customWidth="1"/>
  </cols>
  <sheetData>
    <row r="1" spans="1:16" ht="30" customHeight="1">
      <c r="A1" s="205" t="s">
        <v>9</v>
      </c>
      <c r="B1" s="205" t="s">
        <v>9</v>
      </c>
      <c r="C1" s="205" t="s">
        <v>9</v>
      </c>
      <c r="D1" s="205" t="s">
        <v>9</v>
      </c>
      <c r="E1" s="205" t="s">
        <v>9</v>
      </c>
      <c r="F1" s="205" t="s">
        <v>9</v>
      </c>
      <c r="G1" s="205" t="s">
        <v>9</v>
      </c>
      <c r="H1" s="205" t="s">
        <v>9</v>
      </c>
      <c r="I1" s="205" t="s">
        <v>9</v>
      </c>
      <c r="J1" s="205" t="s">
        <v>9</v>
      </c>
      <c r="K1" s="205" t="s">
        <v>9</v>
      </c>
      <c r="L1" s="205" t="s">
        <v>9</v>
      </c>
      <c r="M1" s="205" t="s">
        <v>9</v>
      </c>
      <c r="N1" s="205" t="s">
        <v>9</v>
      </c>
      <c r="O1" s="205" t="s">
        <v>9</v>
      </c>
      <c r="P1" s="205" t="s">
        <v>9</v>
      </c>
    </row>
    <row r="2" spans="1:1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 ht="41.4">
      <c r="A3" s="1" t="s">
        <v>100</v>
      </c>
      <c r="B3" s="1" t="s">
        <v>142</v>
      </c>
      <c r="C3" s="1" t="s">
        <v>143</v>
      </c>
      <c r="D3" s="1" t="s">
        <v>144</v>
      </c>
      <c r="E3" s="1" t="s">
        <v>145</v>
      </c>
      <c r="F3" s="1" t="s">
        <v>146</v>
      </c>
      <c r="G3" s="1" t="s">
        <v>147</v>
      </c>
      <c r="H3" s="1" t="s">
        <v>148</v>
      </c>
      <c r="I3" s="1" t="s">
        <v>149</v>
      </c>
      <c r="J3" s="1" t="s">
        <v>150</v>
      </c>
      <c r="K3" s="1" t="s">
        <v>151</v>
      </c>
      <c r="L3" s="1" t="s">
        <v>152</v>
      </c>
      <c r="M3" s="1" t="s">
        <v>153</v>
      </c>
      <c r="N3" s="1" t="s">
        <v>115</v>
      </c>
      <c r="O3" s="1" t="s">
        <v>4</v>
      </c>
      <c r="P3" s="1" t="s">
        <v>154</v>
      </c>
    </row>
    <row r="4" spans="1:16" ht="30" customHeight="1">
      <c r="A4" s="23" t="s">
        <v>155</v>
      </c>
      <c r="B4" s="23" t="s">
        <v>156</v>
      </c>
      <c r="C4" s="24">
        <v>200</v>
      </c>
      <c r="D4" s="24">
        <v>100</v>
      </c>
      <c r="E4" s="24">
        <v>3000</v>
      </c>
      <c r="F4" s="24">
        <v>2</v>
      </c>
      <c r="G4" s="6" t="s">
        <v>157</v>
      </c>
      <c r="H4" s="6" t="s">
        <v>158</v>
      </c>
      <c r="I4" s="6" t="s">
        <v>159</v>
      </c>
      <c r="J4" s="8"/>
      <c r="K4" s="8"/>
      <c r="L4" s="7" t="str">
        <f t="shared" ref="L4:L12" si="0">IF(OR(J4="",K4=""),"",J4*K4)</f>
        <v/>
      </c>
      <c r="M4" s="5" t="s">
        <v>160</v>
      </c>
      <c r="N4" s="5" t="s">
        <v>161</v>
      </c>
      <c r="O4" s="5" t="s">
        <v>162</v>
      </c>
      <c r="P4" s="5" t="s">
        <v>163</v>
      </c>
    </row>
    <row r="5" spans="1:16" ht="30" customHeight="1">
      <c r="A5" s="23" t="s">
        <v>155</v>
      </c>
      <c r="B5" s="23" t="s">
        <v>164</v>
      </c>
      <c r="C5" s="24">
        <v>300</v>
      </c>
      <c r="D5" s="24">
        <v>100</v>
      </c>
      <c r="E5" s="24">
        <v>3000</v>
      </c>
      <c r="F5" s="24">
        <v>2</v>
      </c>
      <c r="G5" s="6" t="s">
        <v>157</v>
      </c>
      <c r="H5" s="6" t="s">
        <v>158</v>
      </c>
      <c r="I5" s="6" t="s">
        <v>159</v>
      </c>
      <c r="J5" s="8"/>
      <c r="K5" s="8"/>
      <c r="L5" s="7" t="str">
        <f t="shared" si="0"/>
        <v/>
      </c>
      <c r="M5" s="5" t="s">
        <v>160</v>
      </c>
      <c r="N5" s="5" t="s">
        <v>161</v>
      </c>
      <c r="O5" s="5" t="s">
        <v>162</v>
      </c>
      <c r="P5" s="5" t="s">
        <v>163</v>
      </c>
    </row>
    <row r="6" spans="1:16" ht="30" customHeight="1">
      <c r="A6" s="23" t="s">
        <v>155</v>
      </c>
      <c r="B6" s="23" t="s">
        <v>165</v>
      </c>
      <c r="C6" s="24">
        <v>400</v>
      </c>
      <c r="D6" s="24">
        <v>100</v>
      </c>
      <c r="E6" s="24">
        <v>3000</v>
      </c>
      <c r="F6" s="24">
        <v>2</v>
      </c>
      <c r="G6" s="6" t="s">
        <v>157</v>
      </c>
      <c r="H6" s="6" t="s">
        <v>158</v>
      </c>
      <c r="I6" s="6" t="s">
        <v>159</v>
      </c>
      <c r="J6" s="8"/>
      <c r="K6" s="8"/>
      <c r="L6" s="7" t="str">
        <f t="shared" si="0"/>
        <v/>
      </c>
      <c r="M6" s="5" t="s">
        <v>160</v>
      </c>
      <c r="N6" s="5" t="s">
        <v>161</v>
      </c>
      <c r="O6" s="5" t="s">
        <v>162</v>
      </c>
      <c r="P6" s="5" t="s">
        <v>163</v>
      </c>
    </row>
    <row r="7" spans="1:16" ht="30" customHeight="1">
      <c r="A7" s="23" t="s">
        <v>155</v>
      </c>
      <c r="B7" s="23" t="s">
        <v>166</v>
      </c>
      <c r="C7" s="24">
        <v>500</v>
      </c>
      <c r="D7" s="24">
        <v>100</v>
      </c>
      <c r="E7" s="24">
        <v>3000</v>
      </c>
      <c r="F7" s="24">
        <v>2</v>
      </c>
      <c r="G7" s="6" t="s">
        <v>157</v>
      </c>
      <c r="H7" s="6" t="s">
        <v>158</v>
      </c>
      <c r="I7" s="6" t="s">
        <v>159</v>
      </c>
      <c r="J7" s="8"/>
      <c r="K7" s="8"/>
      <c r="L7" s="7" t="str">
        <f t="shared" si="0"/>
        <v/>
      </c>
      <c r="M7" s="5" t="s">
        <v>160</v>
      </c>
      <c r="N7" s="5" t="s">
        <v>161</v>
      </c>
      <c r="O7" s="5" t="s">
        <v>162</v>
      </c>
      <c r="P7" s="5" t="s">
        <v>163</v>
      </c>
    </row>
    <row r="8" spans="1:16" ht="30" customHeight="1">
      <c r="A8" s="23" t="s">
        <v>155</v>
      </c>
      <c r="B8" s="23" t="s">
        <v>167</v>
      </c>
      <c r="C8" s="24">
        <v>600</v>
      </c>
      <c r="D8" s="24">
        <v>100</v>
      </c>
      <c r="E8" s="24">
        <v>3000</v>
      </c>
      <c r="F8" s="24">
        <v>2</v>
      </c>
      <c r="G8" s="6" t="s">
        <v>157</v>
      </c>
      <c r="H8" s="6" t="s">
        <v>158</v>
      </c>
      <c r="I8" s="6" t="s">
        <v>159</v>
      </c>
      <c r="J8" s="8"/>
      <c r="K8" s="8"/>
      <c r="L8" s="7" t="str">
        <f t="shared" si="0"/>
        <v/>
      </c>
      <c r="M8" s="5" t="s">
        <v>160</v>
      </c>
      <c r="N8" s="5" t="s">
        <v>161</v>
      </c>
      <c r="O8" s="5" t="s">
        <v>162</v>
      </c>
      <c r="P8" s="5" t="s">
        <v>163</v>
      </c>
    </row>
    <row r="9" spans="1:16" ht="30" customHeight="1">
      <c r="A9" s="23" t="s">
        <v>155</v>
      </c>
      <c r="B9" s="23" t="s">
        <v>168</v>
      </c>
      <c r="C9" s="24">
        <v>700</v>
      </c>
      <c r="D9" s="24">
        <v>100</v>
      </c>
      <c r="E9" s="24">
        <v>3000</v>
      </c>
      <c r="F9" s="24">
        <v>2</v>
      </c>
      <c r="G9" s="6" t="s">
        <v>157</v>
      </c>
      <c r="H9" s="6" t="s">
        <v>158</v>
      </c>
      <c r="I9" s="6" t="s">
        <v>159</v>
      </c>
      <c r="J9" s="8"/>
      <c r="K9" s="8"/>
      <c r="L9" s="7" t="str">
        <f t="shared" si="0"/>
        <v/>
      </c>
      <c r="M9" s="5" t="s">
        <v>160</v>
      </c>
      <c r="N9" s="5" t="s">
        <v>161</v>
      </c>
      <c r="O9" s="5" t="s">
        <v>162</v>
      </c>
      <c r="P9" s="5" t="s">
        <v>163</v>
      </c>
    </row>
    <row r="10" spans="1:16" ht="30" customHeight="1">
      <c r="A10" s="23" t="s">
        <v>155</v>
      </c>
      <c r="B10" s="23" t="s">
        <v>169</v>
      </c>
      <c r="C10" s="24">
        <v>800</v>
      </c>
      <c r="D10" s="24">
        <v>100</v>
      </c>
      <c r="E10" s="24">
        <v>3000</v>
      </c>
      <c r="F10" s="24">
        <v>2</v>
      </c>
      <c r="G10" s="6" t="s">
        <v>157</v>
      </c>
      <c r="H10" s="6" t="s">
        <v>158</v>
      </c>
      <c r="I10" s="6" t="s">
        <v>159</v>
      </c>
      <c r="J10" s="8"/>
      <c r="K10" s="8"/>
      <c r="L10" s="7" t="str">
        <f t="shared" si="0"/>
        <v/>
      </c>
      <c r="M10" s="5" t="s">
        <v>160</v>
      </c>
      <c r="N10" s="5" t="s">
        <v>161</v>
      </c>
      <c r="O10" s="5" t="s">
        <v>162</v>
      </c>
      <c r="P10" s="5" t="s">
        <v>163</v>
      </c>
    </row>
    <row r="11" spans="1:16" ht="30" customHeight="1">
      <c r="A11" s="23" t="s">
        <v>155</v>
      </c>
      <c r="B11" s="23" t="s">
        <v>170</v>
      </c>
      <c r="C11" s="24">
        <v>900</v>
      </c>
      <c r="D11" s="24">
        <v>100</v>
      </c>
      <c r="E11" s="24">
        <v>3000</v>
      </c>
      <c r="F11" s="24">
        <v>2</v>
      </c>
      <c r="G11" s="6" t="s">
        <v>157</v>
      </c>
      <c r="H11" s="6" t="s">
        <v>158</v>
      </c>
      <c r="I11" s="6" t="s">
        <v>159</v>
      </c>
      <c r="J11" s="8"/>
      <c r="K11" s="8"/>
      <c r="L11" s="7" t="str">
        <f t="shared" si="0"/>
        <v/>
      </c>
      <c r="M11" s="5" t="s">
        <v>160</v>
      </c>
      <c r="N11" s="5" t="s">
        <v>161</v>
      </c>
      <c r="O11" s="5" t="s">
        <v>162</v>
      </c>
      <c r="P11" s="5" t="s">
        <v>163</v>
      </c>
    </row>
    <row r="12" spans="1:16" ht="30" customHeight="1">
      <c r="A12" s="23" t="s">
        <v>155</v>
      </c>
      <c r="B12" s="23" t="s">
        <v>171</v>
      </c>
      <c r="C12" s="24">
        <v>1000</v>
      </c>
      <c r="D12" s="24">
        <v>100</v>
      </c>
      <c r="E12" s="24">
        <v>3000</v>
      </c>
      <c r="F12" s="24">
        <v>2</v>
      </c>
      <c r="G12" s="6" t="s">
        <v>157</v>
      </c>
      <c r="H12" s="6" t="s">
        <v>158</v>
      </c>
      <c r="I12" s="6" t="s">
        <v>159</v>
      </c>
      <c r="J12" s="8"/>
      <c r="K12" s="8"/>
      <c r="L12" s="7" t="str">
        <f t="shared" si="0"/>
        <v/>
      </c>
      <c r="M12" s="5" t="s">
        <v>160</v>
      </c>
      <c r="N12" s="5" t="s">
        <v>161</v>
      </c>
      <c r="O12" s="5" t="s">
        <v>162</v>
      </c>
      <c r="P12" s="5" t="s">
        <v>163</v>
      </c>
    </row>
  </sheetData>
  <mergeCells count="1">
    <mergeCell ref="A1:P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theme="8" tint="0.39997558519241921"/>
  </sheetPr>
  <dimension ref="A1:H49"/>
  <sheetViews>
    <sheetView showGridLines="0" zoomScale="70" zoomScaleNormal="70" workbookViewId="0">
      <selection activeCell="E23" sqref="E23"/>
    </sheetView>
  </sheetViews>
  <sheetFormatPr defaultRowHeight="13.8"/>
  <cols>
    <col min="1" max="1" width="34" customWidth="1"/>
    <col min="2" max="2" width="30" customWidth="1"/>
    <col min="3" max="3" width="15" customWidth="1"/>
    <col min="4" max="4" width="27.8984375" customWidth="1"/>
    <col min="5" max="5" width="41.5" customWidth="1"/>
    <col min="6" max="6" width="31.59765625" customWidth="1"/>
    <col min="7" max="7" width="31.19921875" customWidth="1"/>
    <col min="8" max="8" width="16" customWidth="1"/>
    <col min="9" max="9" width="12" customWidth="1"/>
    <col min="10" max="10" width="13" customWidth="1"/>
    <col min="11" max="11" width="18" customWidth="1"/>
    <col min="12" max="12" width="64" customWidth="1"/>
  </cols>
  <sheetData>
    <row r="1" spans="1:8" ht="21">
      <c r="A1" s="206" t="s">
        <v>172</v>
      </c>
      <c r="B1" s="206"/>
      <c r="C1" s="206"/>
      <c r="D1" s="206"/>
      <c r="E1" s="206"/>
      <c r="F1" s="206"/>
      <c r="G1" s="206"/>
    </row>
    <row r="3" spans="1:8" ht="17.399999999999999">
      <c r="A3" s="49" t="s">
        <v>173</v>
      </c>
      <c r="B3" s="49" t="s">
        <v>174</v>
      </c>
      <c r="C3" s="49" t="s">
        <v>175</v>
      </c>
      <c r="D3" s="49" t="s">
        <v>176</v>
      </c>
      <c r="E3" s="49" t="s">
        <v>177</v>
      </c>
      <c r="F3" s="49" t="s">
        <v>178</v>
      </c>
      <c r="G3" s="49" t="s">
        <v>179</v>
      </c>
    </row>
    <row r="4" spans="1:8" ht="41.4">
      <c r="A4" s="44" t="s">
        <v>180</v>
      </c>
      <c r="B4" s="44" t="s">
        <v>181</v>
      </c>
      <c r="C4" s="44" t="s">
        <v>182</v>
      </c>
      <c r="D4" s="44">
        <v>4</v>
      </c>
      <c r="E4" s="112">
        <v>6</v>
      </c>
      <c r="F4" s="45" t="s">
        <v>183</v>
      </c>
      <c r="G4" s="43" t="s">
        <v>184</v>
      </c>
    </row>
    <row r="5" spans="1:8" ht="41.4">
      <c r="A5" s="44" t="s">
        <v>185</v>
      </c>
      <c r="B5" s="44" t="s">
        <v>181</v>
      </c>
      <c r="C5" s="44" t="s">
        <v>182</v>
      </c>
      <c r="D5" s="44">
        <v>6</v>
      </c>
      <c r="E5" s="186">
        <v>7</v>
      </c>
      <c r="F5" s="45" t="s">
        <v>183</v>
      </c>
      <c r="G5" s="43" t="s">
        <v>184</v>
      </c>
      <c r="H5" s="187" t="s">
        <v>725</v>
      </c>
    </row>
    <row r="6" spans="1:8" ht="41.4">
      <c r="A6" s="44" t="s">
        <v>186</v>
      </c>
      <c r="B6" s="44" t="s">
        <v>181</v>
      </c>
      <c r="C6" s="44" t="s">
        <v>182</v>
      </c>
      <c r="D6" s="44">
        <v>10</v>
      </c>
      <c r="E6" s="112">
        <v>8.1999999999999993</v>
      </c>
      <c r="F6" s="45" t="s">
        <v>183</v>
      </c>
      <c r="G6" s="43" t="s">
        <v>184</v>
      </c>
    </row>
    <row r="7" spans="1:8" ht="41.4">
      <c r="A7" s="44" t="s">
        <v>187</v>
      </c>
      <c r="B7" s="44" t="s">
        <v>181</v>
      </c>
      <c r="C7" s="44" t="s">
        <v>182</v>
      </c>
      <c r="D7" s="44">
        <v>16</v>
      </c>
      <c r="E7" s="112">
        <v>9.8000000000000007</v>
      </c>
      <c r="F7" s="45" t="s">
        <v>183</v>
      </c>
      <c r="G7" s="43" t="s">
        <v>184</v>
      </c>
    </row>
    <row r="8" spans="1:8" ht="55.2">
      <c r="A8" s="46" t="s">
        <v>188</v>
      </c>
      <c r="B8" s="46" t="s">
        <v>189</v>
      </c>
      <c r="C8" s="46" t="s">
        <v>182</v>
      </c>
      <c r="D8" s="46">
        <v>4</v>
      </c>
      <c r="E8" s="47">
        <v>6.6</v>
      </c>
      <c r="F8" s="48" t="s">
        <v>190</v>
      </c>
      <c r="G8" s="43" t="s">
        <v>191</v>
      </c>
    </row>
    <row r="9" spans="1:8" ht="55.2">
      <c r="A9" s="46" t="s">
        <v>192</v>
      </c>
      <c r="B9" s="46" t="s">
        <v>189</v>
      </c>
      <c r="C9" s="46" t="s">
        <v>182</v>
      </c>
      <c r="D9" s="46">
        <v>6</v>
      </c>
      <c r="E9" s="47">
        <v>7.4</v>
      </c>
      <c r="F9" s="48" t="s">
        <v>190</v>
      </c>
      <c r="G9" s="43" t="s">
        <v>191</v>
      </c>
    </row>
    <row r="10" spans="1:8" ht="55.2">
      <c r="A10" s="46" t="s">
        <v>193</v>
      </c>
      <c r="B10" s="46" t="s">
        <v>189</v>
      </c>
      <c r="C10" s="46" t="s">
        <v>182</v>
      </c>
      <c r="D10" s="46">
        <v>10</v>
      </c>
      <c r="E10" s="47">
        <v>8.8000000000000007</v>
      </c>
      <c r="F10" s="48" t="s">
        <v>190</v>
      </c>
      <c r="G10" s="43" t="s">
        <v>191</v>
      </c>
    </row>
    <row r="11" spans="1:8" ht="55.2">
      <c r="A11" s="46" t="s">
        <v>194</v>
      </c>
      <c r="B11" s="46" t="s">
        <v>189</v>
      </c>
      <c r="C11" s="46" t="s">
        <v>182</v>
      </c>
      <c r="D11" s="46">
        <v>16</v>
      </c>
      <c r="E11" s="47">
        <v>10.1</v>
      </c>
      <c r="F11" s="48" t="s">
        <v>190</v>
      </c>
      <c r="G11" s="43" t="s">
        <v>191</v>
      </c>
    </row>
    <row r="16" spans="1:8" ht="27.9" customHeight="1">
      <c r="A16" s="196" t="s">
        <v>195</v>
      </c>
      <c r="B16" s="196" t="s">
        <v>195</v>
      </c>
      <c r="C16" s="196" t="s">
        <v>195</v>
      </c>
      <c r="D16" s="196" t="s">
        <v>195</v>
      </c>
      <c r="E16" s="196" t="s">
        <v>195</v>
      </c>
      <c r="F16" s="196" t="s">
        <v>195</v>
      </c>
      <c r="G16" s="196" t="s">
        <v>195</v>
      </c>
      <c r="H16" s="196" t="s">
        <v>195</v>
      </c>
    </row>
    <row r="18" spans="1:8" ht="27.6">
      <c r="A18" s="9" t="s">
        <v>196</v>
      </c>
      <c r="B18" s="9" t="s">
        <v>197</v>
      </c>
      <c r="C18" s="9" t="s">
        <v>198</v>
      </c>
      <c r="D18" s="9" t="s">
        <v>199</v>
      </c>
      <c r="E18" s="9" t="s">
        <v>200</v>
      </c>
      <c r="F18" s="9" t="s">
        <v>201</v>
      </c>
      <c r="G18" s="9" t="s">
        <v>202</v>
      </c>
      <c r="H18" s="9" t="s">
        <v>203</v>
      </c>
    </row>
    <row r="19" spans="1:8" ht="45.9" customHeight="1">
      <c r="A19" s="11" t="s">
        <v>204</v>
      </c>
      <c r="B19" s="10" t="s">
        <v>205</v>
      </c>
      <c r="C19" s="10" t="s">
        <v>206</v>
      </c>
      <c r="D19" s="10" t="s">
        <v>207</v>
      </c>
      <c r="E19" s="10" t="s">
        <v>208</v>
      </c>
      <c r="F19" s="10" t="s">
        <v>209</v>
      </c>
      <c r="G19" s="13" t="s">
        <v>210</v>
      </c>
      <c r="H19" s="10" t="s">
        <v>211</v>
      </c>
    </row>
    <row r="20" spans="1:8" ht="45.9" customHeight="1">
      <c r="A20" s="11" t="s">
        <v>212</v>
      </c>
      <c r="B20" s="10" t="s">
        <v>213</v>
      </c>
      <c r="C20" s="10" t="s">
        <v>214</v>
      </c>
      <c r="D20" s="10" t="s">
        <v>214</v>
      </c>
      <c r="E20" s="10" t="s">
        <v>214</v>
      </c>
      <c r="F20" s="10" t="s">
        <v>214</v>
      </c>
      <c r="G20" s="14" t="s">
        <v>215</v>
      </c>
      <c r="H20" s="10" t="s">
        <v>216</v>
      </c>
    </row>
    <row r="21" spans="1:8" ht="45.9" customHeight="1">
      <c r="A21" s="11" t="s">
        <v>217</v>
      </c>
      <c r="B21" s="10" t="s">
        <v>218</v>
      </c>
      <c r="C21" s="10" t="s">
        <v>219</v>
      </c>
      <c r="D21" s="10" t="s">
        <v>220</v>
      </c>
      <c r="E21" s="10" t="s">
        <v>221</v>
      </c>
      <c r="F21" s="10" t="s">
        <v>222</v>
      </c>
      <c r="G21" s="13" t="s">
        <v>210</v>
      </c>
      <c r="H21" s="10" t="s">
        <v>223</v>
      </c>
    </row>
    <row r="22" spans="1:8" ht="45.9" customHeight="1">
      <c r="A22" s="11" t="s">
        <v>224</v>
      </c>
      <c r="B22" s="10" t="s">
        <v>225</v>
      </c>
      <c r="C22" s="10" t="s">
        <v>226</v>
      </c>
      <c r="D22" s="10" t="s">
        <v>227</v>
      </c>
      <c r="E22" s="10" t="s">
        <v>228</v>
      </c>
      <c r="F22" s="10" t="s">
        <v>229</v>
      </c>
      <c r="G22" s="13" t="s">
        <v>210</v>
      </c>
      <c r="H22" s="10" t="s">
        <v>230</v>
      </c>
    </row>
    <row r="23" spans="1:8" ht="45.9" customHeight="1">
      <c r="A23" s="11" t="s">
        <v>231</v>
      </c>
      <c r="B23" s="10" t="s">
        <v>232</v>
      </c>
      <c r="C23" s="10" t="s">
        <v>226</v>
      </c>
      <c r="D23" s="10" t="s">
        <v>233</v>
      </c>
      <c r="E23" s="10" t="s">
        <v>234</v>
      </c>
      <c r="F23" s="10" t="s">
        <v>235</v>
      </c>
      <c r="G23" s="13" t="s">
        <v>210</v>
      </c>
      <c r="H23" s="10" t="s">
        <v>236</v>
      </c>
    </row>
    <row r="24" spans="1:8" ht="45.9" customHeight="1">
      <c r="A24" s="11" t="s">
        <v>237</v>
      </c>
      <c r="B24" s="10" t="s">
        <v>238</v>
      </c>
      <c r="C24" s="10" t="s">
        <v>239</v>
      </c>
      <c r="D24" s="10" t="s">
        <v>240</v>
      </c>
      <c r="E24" s="10" t="s">
        <v>241</v>
      </c>
      <c r="F24" s="10" t="s">
        <v>242</v>
      </c>
      <c r="G24" s="13" t="s">
        <v>210</v>
      </c>
      <c r="H24" s="10" t="s">
        <v>243</v>
      </c>
    </row>
    <row r="25" spans="1:8" ht="45.9" customHeight="1">
      <c r="A25" s="11" t="s">
        <v>244</v>
      </c>
      <c r="B25" s="10" t="s">
        <v>245</v>
      </c>
      <c r="C25" s="10" t="s">
        <v>246</v>
      </c>
      <c r="D25" s="10" t="s">
        <v>247</v>
      </c>
      <c r="E25" s="10" t="s">
        <v>248</v>
      </c>
      <c r="F25" s="10" t="s">
        <v>249</v>
      </c>
      <c r="G25" s="13" t="s">
        <v>210</v>
      </c>
      <c r="H25" s="10" t="s">
        <v>250</v>
      </c>
    </row>
    <row r="26" spans="1:8" ht="45.9" customHeight="1">
      <c r="A26" s="15" t="s">
        <v>251</v>
      </c>
      <c r="B26" s="15" t="s">
        <v>252</v>
      </c>
      <c r="C26" s="15" t="s">
        <v>253</v>
      </c>
      <c r="D26" s="15" t="s">
        <v>182</v>
      </c>
      <c r="E26" s="15" t="s">
        <v>254</v>
      </c>
      <c r="F26" s="15" t="s">
        <v>255</v>
      </c>
      <c r="G26" s="15" t="s">
        <v>256</v>
      </c>
      <c r="H26" s="15" t="s">
        <v>257</v>
      </c>
    </row>
    <row r="27" spans="1:8" ht="45.9" customHeight="1">
      <c r="A27" s="11" t="s">
        <v>258</v>
      </c>
      <c r="B27" s="10" t="s">
        <v>259</v>
      </c>
      <c r="C27" s="10" t="s">
        <v>181</v>
      </c>
      <c r="D27" s="10" t="s">
        <v>260</v>
      </c>
      <c r="E27" s="10" t="s">
        <v>261</v>
      </c>
      <c r="F27" s="10" t="s">
        <v>262</v>
      </c>
      <c r="G27" s="13" t="s">
        <v>210</v>
      </c>
      <c r="H27" s="10" t="s">
        <v>263</v>
      </c>
    </row>
    <row r="28" spans="1:8" ht="45.9" customHeight="1">
      <c r="A28" s="11" t="s">
        <v>264</v>
      </c>
      <c r="B28" s="10" t="s">
        <v>265</v>
      </c>
      <c r="C28" s="10" t="s">
        <v>266</v>
      </c>
      <c r="D28" s="10" t="s">
        <v>267</v>
      </c>
      <c r="E28" s="10" t="s">
        <v>268</v>
      </c>
      <c r="F28" s="10" t="s">
        <v>269</v>
      </c>
      <c r="G28" s="13" t="s">
        <v>210</v>
      </c>
      <c r="H28" s="10" t="s">
        <v>270</v>
      </c>
    </row>
    <row r="29" spans="1:8" ht="45.9" customHeight="1">
      <c r="A29" s="11" t="s">
        <v>271</v>
      </c>
      <c r="B29" s="10" t="s">
        <v>272</v>
      </c>
      <c r="C29" s="10" t="s">
        <v>273</v>
      </c>
      <c r="D29" s="10" t="s">
        <v>274</v>
      </c>
      <c r="E29" s="10" t="s">
        <v>214</v>
      </c>
      <c r="F29" s="10" t="s">
        <v>275</v>
      </c>
      <c r="G29" s="12" t="s">
        <v>276</v>
      </c>
      <c r="H29" s="10" t="s">
        <v>277</v>
      </c>
    </row>
    <row r="30" spans="1:8" ht="45.9" customHeight="1">
      <c r="A30" s="11" t="s">
        <v>278</v>
      </c>
      <c r="B30" s="10" t="s">
        <v>279</v>
      </c>
      <c r="C30" s="10" t="s">
        <v>226</v>
      </c>
      <c r="D30" s="10" t="s">
        <v>280</v>
      </c>
      <c r="E30" s="10" t="s">
        <v>281</v>
      </c>
      <c r="F30" s="10" t="s">
        <v>229</v>
      </c>
      <c r="G30" s="13" t="s">
        <v>210</v>
      </c>
      <c r="H30" s="10" t="s">
        <v>282</v>
      </c>
    </row>
    <row r="31" spans="1:8" ht="45.9" customHeight="1">
      <c r="A31" s="11" t="s">
        <v>283</v>
      </c>
      <c r="B31" s="10" t="s">
        <v>284</v>
      </c>
      <c r="C31" s="10" t="s">
        <v>285</v>
      </c>
      <c r="D31" s="10" t="s">
        <v>286</v>
      </c>
      <c r="E31" s="10" t="s">
        <v>287</v>
      </c>
      <c r="F31" s="10" t="s">
        <v>288</v>
      </c>
      <c r="G31" s="13" t="s">
        <v>210</v>
      </c>
      <c r="H31" s="10" t="s">
        <v>289</v>
      </c>
    </row>
    <row r="32" spans="1:8" ht="45.9" customHeight="1">
      <c r="A32" s="11" t="s">
        <v>290</v>
      </c>
      <c r="B32" s="10" t="s">
        <v>291</v>
      </c>
      <c r="C32" s="10" t="s">
        <v>292</v>
      </c>
      <c r="D32" s="10" t="s">
        <v>293</v>
      </c>
      <c r="E32" s="10" t="s">
        <v>294</v>
      </c>
      <c r="F32" s="10" t="s">
        <v>295</v>
      </c>
      <c r="G32" s="12" t="s">
        <v>296</v>
      </c>
      <c r="H32" s="10" t="s">
        <v>297</v>
      </c>
    </row>
    <row r="33" spans="1:8" ht="45.9" customHeight="1">
      <c r="A33" s="11" t="s">
        <v>298</v>
      </c>
      <c r="B33" s="10" t="s">
        <v>291</v>
      </c>
      <c r="C33" s="10" t="s">
        <v>299</v>
      </c>
      <c r="D33" s="10" t="s">
        <v>300</v>
      </c>
      <c r="E33" s="10" t="s">
        <v>301</v>
      </c>
      <c r="F33" s="10" t="s">
        <v>302</v>
      </c>
      <c r="G33" s="12" t="s">
        <v>296</v>
      </c>
      <c r="H33" s="10" t="s">
        <v>303</v>
      </c>
    </row>
    <row r="36" spans="1:8">
      <c r="A36" s="202" t="s">
        <v>304</v>
      </c>
      <c r="B36" s="202"/>
      <c r="C36" s="202"/>
      <c r="D36" s="202"/>
    </row>
    <row r="38" spans="1:8" ht="35.1" customHeight="1">
      <c r="A38" s="113" t="s">
        <v>305</v>
      </c>
      <c r="B38" s="113" t="s">
        <v>306</v>
      </c>
      <c r="C38" s="113" t="s">
        <v>307</v>
      </c>
      <c r="D38" s="113" t="s">
        <v>308</v>
      </c>
    </row>
    <row r="39" spans="1:8">
      <c r="A39" s="114" t="s">
        <v>174</v>
      </c>
      <c r="B39" s="115" t="s">
        <v>309</v>
      </c>
      <c r="C39" s="116" t="s">
        <v>214</v>
      </c>
      <c r="D39" s="116" t="s">
        <v>310</v>
      </c>
    </row>
    <row r="40" spans="1:8" ht="27.6">
      <c r="A40" s="114" t="s">
        <v>311</v>
      </c>
      <c r="B40" s="115" t="s">
        <v>312</v>
      </c>
      <c r="C40" s="116" t="s">
        <v>214</v>
      </c>
      <c r="D40" s="116" t="s">
        <v>310</v>
      </c>
    </row>
    <row r="41" spans="1:8">
      <c r="A41" s="114" t="s">
        <v>313</v>
      </c>
      <c r="B41" s="117">
        <v>725</v>
      </c>
      <c r="C41" s="116" t="s">
        <v>314</v>
      </c>
      <c r="D41" s="116" t="s">
        <v>315</v>
      </c>
    </row>
    <row r="42" spans="1:8">
      <c r="A42" s="114" t="s">
        <v>316</v>
      </c>
      <c r="B42" s="117">
        <v>41</v>
      </c>
      <c r="C42" s="116" t="s">
        <v>317</v>
      </c>
      <c r="D42" s="116" t="s">
        <v>310</v>
      </c>
    </row>
    <row r="43" spans="1:8">
      <c r="A43" s="114" t="s">
        <v>318</v>
      </c>
      <c r="B43" s="117">
        <v>17.690000000000001</v>
      </c>
      <c r="C43" s="116" t="s">
        <v>319</v>
      </c>
      <c r="D43" s="116" t="s">
        <v>310</v>
      </c>
    </row>
    <row r="44" spans="1:8">
      <c r="A44" s="114" t="s">
        <v>320</v>
      </c>
      <c r="B44" s="117">
        <v>49.2</v>
      </c>
      <c r="C44" s="116" t="s">
        <v>317</v>
      </c>
      <c r="D44" s="116" t="s">
        <v>310</v>
      </c>
    </row>
    <row r="45" spans="1:8">
      <c r="A45" s="114" t="s">
        <v>321</v>
      </c>
      <c r="B45" s="117">
        <v>18.739999999999998</v>
      </c>
      <c r="C45" s="116" t="s">
        <v>319</v>
      </c>
      <c r="D45" s="116" t="s">
        <v>310</v>
      </c>
    </row>
    <row r="46" spans="1:8">
      <c r="A46" s="114" t="s">
        <v>322</v>
      </c>
      <c r="B46" s="117">
        <v>1500</v>
      </c>
      <c r="C46" s="116" t="s">
        <v>323</v>
      </c>
      <c r="D46" s="116" t="s">
        <v>310</v>
      </c>
    </row>
    <row r="47" spans="1:8">
      <c r="A47" s="114" t="s">
        <v>324</v>
      </c>
      <c r="B47" s="117">
        <v>35</v>
      </c>
      <c r="C47" s="116" t="s">
        <v>319</v>
      </c>
      <c r="D47" s="116" t="s">
        <v>310</v>
      </c>
    </row>
    <row r="48" spans="1:8" ht="27.6">
      <c r="A48" s="114" t="s">
        <v>325</v>
      </c>
      <c r="B48" s="115">
        <v>10</v>
      </c>
      <c r="C48" s="116" t="s">
        <v>326</v>
      </c>
      <c r="D48" s="116" t="s">
        <v>327</v>
      </c>
    </row>
    <row r="49" spans="1:4" ht="27.6">
      <c r="A49" s="114" t="s">
        <v>328</v>
      </c>
      <c r="B49" s="115" t="s">
        <v>329</v>
      </c>
      <c r="C49" s="116" t="s">
        <v>214</v>
      </c>
      <c r="D49" s="116" t="s">
        <v>330</v>
      </c>
    </row>
  </sheetData>
  <mergeCells count="3">
    <mergeCell ref="A16:H16"/>
    <mergeCell ref="A36:D36"/>
    <mergeCell ref="A1:G1"/>
  </mergeCells>
  <conditionalFormatting sqref="F4:F11">
    <cfRule type="cellIs" dxfId="145" priority="1" operator="equal">
      <formula>"YES"</formula>
    </cfRule>
    <cfRule type="containsText" dxfId="144" priority="2" operator="containsText" text="PASS"/>
    <cfRule type="containsText" dxfId="143" priority="4" operator="containsText" text="FAIL"/>
    <cfRule type="containsText" dxfId="142" priority="5" operator="containsText" text="CHECK"/>
    <cfRule type="containsText" dxfId="141" priority="7" operator="containsText" text="NOT PERMITTED"/>
  </conditionalFormatting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theme="8" tint="0.59993285927915285"/>
  </sheetPr>
  <dimension ref="A1:L24"/>
  <sheetViews>
    <sheetView showGridLines="0" zoomScale="85" zoomScaleNormal="85" workbookViewId="0">
      <selection activeCell="K5" sqref="K5"/>
    </sheetView>
  </sheetViews>
  <sheetFormatPr defaultColWidth="9" defaultRowHeight="13.8"/>
  <cols>
    <col min="1" max="1" width="9.09765625" style="27" customWidth="1"/>
    <col min="2" max="2" width="17.69921875" style="27" customWidth="1"/>
    <col min="3" max="3" width="17.19921875" style="27" customWidth="1"/>
    <col min="4" max="4" width="16.5" style="27" customWidth="1"/>
    <col min="5" max="5" width="13.69921875" style="27" customWidth="1"/>
    <col min="6" max="6" width="15" style="27" customWidth="1"/>
    <col min="7" max="7" width="11.59765625" style="27" customWidth="1"/>
    <col min="8" max="8" width="17.5" style="27" customWidth="1"/>
    <col min="9" max="9" width="7.3984375" style="27" customWidth="1"/>
    <col min="10" max="10" width="26.8984375" style="37" customWidth="1"/>
    <col min="11" max="11" width="17.8984375" style="27" customWidth="1"/>
    <col min="12" max="12" width="24.5" style="27" customWidth="1"/>
    <col min="13" max="16384" width="9" style="27"/>
  </cols>
  <sheetData>
    <row r="1" spans="1:12" ht="30" customHeight="1">
      <c r="A1" s="207" t="s">
        <v>331</v>
      </c>
      <c r="B1" s="207" t="s">
        <v>331</v>
      </c>
      <c r="C1" s="207" t="s">
        <v>331</v>
      </c>
      <c r="D1" s="207" t="s">
        <v>331</v>
      </c>
      <c r="E1" s="207" t="s">
        <v>331</v>
      </c>
      <c r="F1" s="207" t="s">
        <v>331</v>
      </c>
      <c r="G1" s="207" t="s">
        <v>331</v>
      </c>
      <c r="H1" s="207" t="s">
        <v>331</v>
      </c>
      <c r="I1" s="207" t="s">
        <v>331</v>
      </c>
      <c r="J1" s="207" t="s">
        <v>331</v>
      </c>
      <c r="K1" s="207" t="s">
        <v>331</v>
      </c>
      <c r="L1" s="207" t="s">
        <v>331</v>
      </c>
    </row>
    <row r="2" spans="1:12">
      <c r="A2" s="28" t="s">
        <v>332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</row>
    <row r="3" spans="1:12" ht="27.6">
      <c r="A3" s="1" t="s">
        <v>333</v>
      </c>
      <c r="B3" s="1" t="s">
        <v>334</v>
      </c>
      <c r="C3" s="51" t="s">
        <v>335</v>
      </c>
      <c r="D3" s="51" t="s">
        <v>336</v>
      </c>
      <c r="E3" s="53" t="s">
        <v>337</v>
      </c>
      <c r="F3" s="53" t="s">
        <v>338</v>
      </c>
      <c r="G3" s="53" t="s">
        <v>339</v>
      </c>
      <c r="H3" s="1" t="s">
        <v>340</v>
      </c>
      <c r="I3" s="1" t="s">
        <v>341</v>
      </c>
      <c r="J3" s="1" t="s">
        <v>342</v>
      </c>
      <c r="K3" s="53" t="s">
        <v>343</v>
      </c>
      <c r="L3" s="1" t="s">
        <v>154</v>
      </c>
    </row>
    <row r="4" spans="1:12" ht="26.4">
      <c r="A4" s="29" t="s">
        <v>344</v>
      </c>
      <c r="B4" s="29" t="s">
        <v>345</v>
      </c>
      <c r="C4" s="54">
        <v>17.690000000000001</v>
      </c>
      <c r="D4" s="54">
        <v>55</v>
      </c>
      <c r="E4" s="30">
        <v>0.95</v>
      </c>
      <c r="F4" s="30">
        <v>0.95</v>
      </c>
      <c r="G4" s="30">
        <v>1</v>
      </c>
      <c r="H4" s="31">
        <f t="shared" ref="H4:H23" si="0">IF(OR(D4="",E4="",F4="",G4=""),"",D4*E4*F4*G4)</f>
        <v>49.637499999999996</v>
      </c>
      <c r="I4" s="32" t="str">
        <f t="shared" ref="I4:I23" si="1">IF(OR(C4="",H4=""),"REVIEW",IF(H4&gt;=C4,"PASS","FAIL"))</f>
        <v>PASS</v>
      </c>
      <c r="J4" s="36" t="s">
        <v>346</v>
      </c>
      <c r="K4" s="33" t="s">
        <v>347</v>
      </c>
      <c r="L4" s="33" t="s">
        <v>348</v>
      </c>
    </row>
    <row r="5" spans="1:12" ht="26.4">
      <c r="A5" s="29" t="s">
        <v>349</v>
      </c>
      <c r="B5" s="29" t="s">
        <v>350</v>
      </c>
      <c r="C5" s="54">
        <v>17.690000000000001</v>
      </c>
      <c r="D5" s="54">
        <v>70</v>
      </c>
      <c r="E5" s="30">
        <v>0.95</v>
      </c>
      <c r="F5" s="30">
        <v>0.9</v>
      </c>
      <c r="G5" s="30">
        <v>1</v>
      </c>
      <c r="H5" s="31">
        <f t="shared" si="0"/>
        <v>59.85</v>
      </c>
      <c r="I5" s="32" t="str">
        <f t="shared" si="1"/>
        <v>PASS</v>
      </c>
      <c r="J5" s="36" t="s">
        <v>346</v>
      </c>
      <c r="K5" s="33" t="s">
        <v>347</v>
      </c>
      <c r="L5" s="33" t="s">
        <v>351</v>
      </c>
    </row>
    <row r="6" spans="1:12" ht="26.4">
      <c r="A6" s="29" t="s">
        <v>352</v>
      </c>
      <c r="B6" s="29" t="s">
        <v>353</v>
      </c>
      <c r="C6" s="54">
        <v>100</v>
      </c>
      <c r="D6" s="54">
        <v>132</v>
      </c>
      <c r="E6" s="30">
        <v>0.8</v>
      </c>
      <c r="F6" s="30">
        <v>0.8</v>
      </c>
      <c r="G6" s="30">
        <v>1</v>
      </c>
      <c r="H6" s="31">
        <f t="shared" si="0"/>
        <v>84.480000000000018</v>
      </c>
      <c r="I6" s="32" t="str">
        <f t="shared" si="1"/>
        <v>FAIL</v>
      </c>
      <c r="J6" s="36" t="s">
        <v>354</v>
      </c>
      <c r="K6" s="33" t="s">
        <v>347</v>
      </c>
      <c r="L6" s="33" t="s">
        <v>355</v>
      </c>
    </row>
    <row r="7" spans="1:12" ht="26.4">
      <c r="A7" s="34" t="s">
        <v>356</v>
      </c>
      <c r="B7" s="33"/>
      <c r="C7" s="54"/>
      <c r="D7" s="54"/>
      <c r="E7" s="35"/>
      <c r="F7" s="35"/>
      <c r="G7" s="35"/>
      <c r="H7" s="31" t="str">
        <f t="shared" si="0"/>
        <v/>
      </c>
      <c r="I7" s="32" t="str">
        <f t="shared" si="1"/>
        <v>REVIEW</v>
      </c>
      <c r="J7" s="36"/>
      <c r="K7" s="33"/>
      <c r="L7" s="33"/>
    </row>
    <row r="8" spans="1:12" ht="26.4">
      <c r="A8" s="34" t="s">
        <v>357</v>
      </c>
      <c r="B8" s="33"/>
      <c r="C8" s="54"/>
      <c r="D8" s="54"/>
      <c r="E8" s="35"/>
      <c r="F8" s="35"/>
      <c r="G8" s="35"/>
      <c r="H8" s="31" t="str">
        <f t="shared" si="0"/>
        <v/>
      </c>
      <c r="I8" s="32" t="str">
        <f t="shared" si="1"/>
        <v>REVIEW</v>
      </c>
      <c r="J8" s="36"/>
      <c r="K8" s="33"/>
      <c r="L8" s="33"/>
    </row>
    <row r="9" spans="1:12" ht="26.4">
      <c r="A9" s="34" t="s">
        <v>358</v>
      </c>
      <c r="B9" s="33"/>
      <c r="C9" s="54"/>
      <c r="D9" s="54"/>
      <c r="E9" s="35"/>
      <c r="F9" s="35"/>
      <c r="G9" s="35"/>
      <c r="H9" s="31" t="str">
        <f t="shared" si="0"/>
        <v/>
      </c>
      <c r="I9" s="32" t="str">
        <f t="shared" si="1"/>
        <v>REVIEW</v>
      </c>
      <c r="J9" s="36"/>
      <c r="K9" s="33"/>
      <c r="L9" s="33"/>
    </row>
    <row r="10" spans="1:12" ht="26.4">
      <c r="A10" s="34" t="s">
        <v>359</v>
      </c>
      <c r="B10" s="33"/>
      <c r="C10" s="54"/>
      <c r="D10" s="54"/>
      <c r="E10" s="35"/>
      <c r="F10" s="35"/>
      <c r="G10" s="35"/>
      <c r="H10" s="31" t="str">
        <f t="shared" si="0"/>
        <v/>
      </c>
      <c r="I10" s="32" t="str">
        <f t="shared" si="1"/>
        <v>REVIEW</v>
      </c>
      <c r="J10" s="36"/>
      <c r="K10" s="33"/>
      <c r="L10" s="33"/>
    </row>
    <row r="11" spans="1:12" ht="26.4">
      <c r="A11" s="34" t="s">
        <v>360</v>
      </c>
      <c r="B11" s="33"/>
      <c r="C11" s="54"/>
      <c r="D11" s="54"/>
      <c r="E11" s="35"/>
      <c r="F11" s="35"/>
      <c r="G11" s="35"/>
      <c r="H11" s="31" t="str">
        <f t="shared" si="0"/>
        <v/>
      </c>
      <c r="I11" s="32" t="str">
        <f t="shared" si="1"/>
        <v>REVIEW</v>
      </c>
      <c r="J11" s="36"/>
      <c r="K11" s="33"/>
      <c r="L11" s="33"/>
    </row>
    <row r="12" spans="1:12" ht="26.4">
      <c r="A12" s="34" t="s">
        <v>361</v>
      </c>
      <c r="B12" s="33"/>
      <c r="C12" s="54"/>
      <c r="D12" s="54"/>
      <c r="E12" s="35"/>
      <c r="F12" s="35"/>
      <c r="G12" s="35"/>
      <c r="H12" s="31" t="str">
        <f t="shared" si="0"/>
        <v/>
      </c>
      <c r="I12" s="32" t="str">
        <f t="shared" si="1"/>
        <v>REVIEW</v>
      </c>
      <c r="J12" s="36"/>
      <c r="K12" s="33"/>
      <c r="L12" s="33"/>
    </row>
    <row r="13" spans="1:12" ht="26.4">
      <c r="A13" s="34" t="s">
        <v>362</v>
      </c>
      <c r="B13" s="33"/>
      <c r="C13" s="54"/>
      <c r="D13" s="54"/>
      <c r="E13" s="35"/>
      <c r="F13" s="35"/>
      <c r="G13" s="35"/>
      <c r="H13" s="31" t="str">
        <f t="shared" si="0"/>
        <v/>
      </c>
      <c r="I13" s="32" t="str">
        <f t="shared" si="1"/>
        <v>REVIEW</v>
      </c>
      <c r="J13" s="36"/>
      <c r="K13" s="33"/>
      <c r="L13" s="33"/>
    </row>
    <row r="14" spans="1:12" ht="26.4">
      <c r="A14" s="34" t="s">
        <v>363</v>
      </c>
      <c r="B14" s="33"/>
      <c r="C14" s="54"/>
      <c r="D14" s="54"/>
      <c r="E14" s="35"/>
      <c r="F14" s="35"/>
      <c r="G14" s="35"/>
      <c r="H14" s="31" t="str">
        <f t="shared" si="0"/>
        <v/>
      </c>
      <c r="I14" s="32" t="str">
        <f t="shared" si="1"/>
        <v>REVIEW</v>
      </c>
      <c r="J14" s="36"/>
      <c r="K14" s="33"/>
      <c r="L14" s="33"/>
    </row>
    <row r="15" spans="1:12" ht="26.4">
      <c r="A15" s="34" t="s">
        <v>364</v>
      </c>
      <c r="B15" s="33"/>
      <c r="C15" s="54"/>
      <c r="D15" s="54"/>
      <c r="E15" s="35"/>
      <c r="F15" s="35"/>
      <c r="G15" s="35"/>
      <c r="H15" s="31" t="str">
        <f t="shared" si="0"/>
        <v/>
      </c>
      <c r="I15" s="32" t="str">
        <f t="shared" si="1"/>
        <v>REVIEW</v>
      </c>
      <c r="J15" s="36"/>
      <c r="K15" s="33"/>
      <c r="L15" s="33"/>
    </row>
    <row r="16" spans="1:12" ht="26.4">
      <c r="A16" s="34" t="s">
        <v>365</v>
      </c>
      <c r="B16" s="33"/>
      <c r="C16" s="54"/>
      <c r="D16" s="54"/>
      <c r="E16" s="35"/>
      <c r="F16" s="35"/>
      <c r="G16" s="35"/>
      <c r="H16" s="31" t="str">
        <f t="shared" si="0"/>
        <v/>
      </c>
      <c r="I16" s="32" t="str">
        <f t="shared" si="1"/>
        <v>REVIEW</v>
      </c>
      <c r="J16" s="36"/>
      <c r="K16" s="33"/>
      <c r="L16" s="33"/>
    </row>
    <row r="17" spans="1:12" ht="26.4">
      <c r="A17" s="34" t="s">
        <v>366</v>
      </c>
      <c r="B17" s="33"/>
      <c r="C17" s="54"/>
      <c r="D17" s="54"/>
      <c r="E17" s="35"/>
      <c r="F17" s="35"/>
      <c r="G17" s="35"/>
      <c r="H17" s="31" t="str">
        <f t="shared" si="0"/>
        <v/>
      </c>
      <c r="I17" s="32" t="str">
        <f t="shared" si="1"/>
        <v>REVIEW</v>
      </c>
      <c r="J17" s="36"/>
      <c r="K17" s="33"/>
      <c r="L17" s="33"/>
    </row>
    <row r="18" spans="1:12" ht="26.4">
      <c r="A18" s="34" t="s">
        <v>367</v>
      </c>
      <c r="B18" s="33"/>
      <c r="C18" s="54"/>
      <c r="D18" s="54"/>
      <c r="E18" s="35"/>
      <c r="F18" s="35"/>
      <c r="G18" s="35"/>
      <c r="H18" s="31" t="str">
        <f t="shared" si="0"/>
        <v/>
      </c>
      <c r="I18" s="32" t="str">
        <f t="shared" si="1"/>
        <v>REVIEW</v>
      </c>
      <c r="J18" s="36"/>
      <c r="K18" s="33"/>
      <c r="L18" s="33"/>
    </row>
    <row r="19" spans="1:12" ht="26.4">
      <c r="A19" s="34" t="s">
        <v>368</v>
      </c>
      <c r="B19" s="33"/>
      <c r="C19" s="54"/>
      <c r="D19" s="54"/>
      <c r="E19" s="35"/>
      <c r="F19" s="35"/>
      <c r="G19" s="35"/>
      <c r="H19" s="31" t="str">
        <f t="shared" si="0"/>
        <v/>
      </c>
      <c r="I19" s="32" t="str">
        <f t="shared" si="1"/>
        <v>REVIEW</v>
      </c>
      <c r="J19" s="36"/>
      <c r="K19" s="33"/>
      <c r="L19" s="33"/>
    </row>
    <row r="20" spans="1:12" ht="26.4">
      <c r="A20" s="34" t="s">
        <v>369</v>
      </c>
      <c r="B20" s="33"/>
      <c r="C20" s="54"/>
      <c r="D20" s="54"/>
      <c r="E20" s="35"/>
      <c r="F20" s="35"/>
      <c r="G20" s="35"/>
      <c r="H20" s="31" t="str">
        <f t="shared" si="0"/>
        <v/>
      </c>
      <c r="I20" s="32" t="str">
        <f t="shared" si="1"/>
        <v>REVIEW</v>
      </c>
      <c r="J20" s="36"/>
      <c r="K20" s="33"/>
      <c r="L20" s="33"/>
    </row>
    <row r="21" spans="1:12" ht="26.4">
      <c r="A21" s="34" t="s">
        <v>370</v>
      </c>
      <c r="B21" s="33"/>
      <c r="C21" s="54"/>
      <c r="D21" s="54"/>
      <c r="E21" s="35"/>
      <c r="F21" s="35"/>
      <c r="G21" s="35"/>
      <c r="H21" s="31" t="str">
        <f t="shared" si="0"/>
        <v/>
      </c>
      <c r="I21" s="32" t="str">
        <f t="shared" si="1"/>
        <v>REVIEW</v>
      </c>
      <c r="J21" s="36"/>
      <c r="K21" s="33"/>
      <c r="L21" s="33"/>
    </row>
    <row r="22" spans="1:12" ht="26.4">
      <c r="A22" s="34" t="s">
        <v>371</v>
      </c>
      <c r="B22" s="33"/>
      <c r="C22" s="54"/>
      <c r="D22" s="54"/>
      <c r="E22" s="35"/>
      <c r="F22" s="35"/>
      <c r="G22" s="35"/>
      <c r="H22" s="31" t="str">
        <f t="shared" si="0"/>
        <v/>
      </c>
      <c r="I22" s="32" t="str">
        <f t="shared" si="1"/>
        <v>REVIEW</v>
      </c>
      <c r="J22" s="36"/>
      <c r="K22" s="33"/>
      <c r="L22" s="33"/>
    </row>
    <row r="23" spans="1:12" ht="26.4">
      <c r="A23" s="34" t="s">
        <v>372</v>
      </c>
      <c r="B23" s="33"/>
      <c r="C23" s="54"/>
      <c r="D23" s="54"/>
      <c r="E23" s="35"/>
      <c r="F23" s="35"/>
      <c r="G23" s="35"/>
      <c r="H23" s="31" t="str">
        <f t="shared" si="0"/>
        <v/>
      </c>
      <c r="I23" s="32" t="str">
        <f t="shared" si="1"/>
        <v>REVIEW</v>
      </c>
      <c r="J23" s="36"/>
      <c r="K23" s="33"/>
      <c r="L23" s="33"/>
    </row>
    <row r="24" spans="1:12">
      <c r="B24" s="52" t="s">
        <v>373</v>
      </c>
    </row>
  </sheetData>
  <mergeCells count="1">
    <mergeCell ref="A1:L1"/>
  </mergeCells>
  <conditionalFormatting sqref="I4:I23">
    <cfRule type="cellIs" dxfId="140" priority="1" operator="equal">
      <formula>"PASS"</formula>
    </cfRule>
    <cfRule type="cellIs" dxfId="139" priority="2" operator="equal">
      <formula>"FAIL"</formula>
    </cfRule>
    <cfRule type="containsText" dxfId="138" priority="3" operator="containsText" text="PASS"/>
    <cfRule type="containsText" dxfId="137" priority="5" operator="containsText" text="FAIL"/>
    <cfRule type="containsText" dxfId="136" priority="6" operator="containsText" text="CHECK"/>
    <cfRule type="containsText" dxfId="135" priority="8" operator="containsText" text="NOT PERMITTED"/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B0F0"/>
  </sheetPr>
  <dimension ref="A1:AA109"/>
  <sheetViews>
    <sheetView showGridLines="0" tabSelected="1" topLeftCell="A76" zoomScale="85" zoomScaleNormal="85" workbookViewId="0">
      <selection activeCell="M88" sqref="M88"/>
    </sheetView>
  </sheetViews>
  <sheetFormatPr defaultRowHeight="13.8"/>
  <cols>
    <col min="1" max="1" width="15" customWidth="1"/>
    <col min="2" max="2" width="46.5" customWidth="1"/>
    <col min="3" max="3" width="14" hidden="1" customWidth="1"/>
    <col min="4" max="4" width="13" hidden="1" customWidth="1"/>
    <col min="5" max="5" width="12" customWidth="1"/>
    <col min="6" max="6" width="16" customWidth="1"/>
    <col min="7" max="7" width="12" customWidth="1"/>
    <col min="8" max="8" width="15" customWidth="1"/>
    <col min="9" max="9" width="14" customWidth="1"/>
    <col min="10" max="11" width="15" customWidth="1"/>
    <col min="12" max="12" width="13" customWidth="1"/>
    <col min="13" max="13" width="14" customWidth="1"/>
    <col min="14" max="16" width="13" customWidth="1"/>
    <col min="17" max="17" width="27" hidden="1" customWidth="1"/>
    <col min="18" max="27" width="11" customWidth="1"/>
  </cols>
  <sheetData>
    <row r="1" spans="1:27" ht="27.9" customHeight="1">
      <c r="A1" s="196" t="s">
        <v>374</v>
      </c>
      <c r="B1" s="196" t="s">
        <v>374</v>
      </c>
      <c r="C1" s="196" t="s">
        <v>374</v>
      </c>
      <c r="D1" s="196" t="s">
        <v>374</v>
      </c>
      <c r="E1" s="196" t="s">
        <v>374</v>
      </c>
      <c r="F1" s="196" t="s">
        <v>374</v>
      </c>
      <c r="G1" s="196" t="s">
        <v>374</v>
      </c>
      <c r="H1" s="196" t="s">
        <v>374</v>
      </c>
      <c r="I1" s="196" t="s">
        <v>374</v>
      </c>
      <c r="J1" s="196" t="s">
        <v>374</v>
      </c>
      <c r="K1" s="196" t="s">
        <v>374</v>
      </c>
      <c r="L1" s="196" t="s">
        <v>374</v>
      </c>
      <c r="M1" s="196" t="s">
        <v>374</v>
      </c>
      <c r="N1" s="196" t="s">
        <v>374</v>
      </c>
      <c r="O1" s="196" t="s">
        <v>374</v>
      </c>
      <c r="P1" s="196" t="s">
        <v>374</v>
      </c>
    </row>
    <row r="2" spans="1:27" s="80" customFormat="1" ht="15.6">
      <c r="A2" s="197" t="s">
        <v>375</v>
      </c>
      <c r="B2" s="197" t="s">
        <v>376</v>
      </c>
      <c r="C2" s="197" t="s">
        <v>376</v>
      </c>
      <c r="D2" s="197" t="s">
        <v>376</v>
      </c>
      <c r="E2" s="197" t="s">
        <v>376</v>
      </c>
      <c r="F2" s="197" t="s">
        <v>376</v>
      </c>
      <c r="G2" s="197" t="s">
        <v>376</v>
      </c>
      <c r="H2" s="197" t="s">
        <v>376</v>
      </c>
      <c r="I2" s="197" t="s">
        <v>376</v>
      </c>
      <c r="J2" s="197" t="s">
        <v>376</v>
      </c>
      <c r="K2" s="197" t="s">
        <v>376</v>
      </c>
      <c r="L2" s="197" t="s">
        <v>376</v>
      </c>
      <c r="M2" s="197" t="s">
        <v>376</v>
      </c>
      <c r="N2" s="197" t="s">
        <v>376</v>
      </c>
      <c r="O2" s="197" t="s">
        <v>376</v>
      </c>
      <c r="P2" s="197" t="s">
        <v>376</v>
      </c>
    </row>
    <row r="3" spans="1:27" s="80" customFormat="1" ht="15">
      <c r="A3" s="198" t="s">
        <v>377</v>
      </c>
      <c r="B3" s="198" t="s">
        <v>377</v>
      </c>
      <c r="C3" s="198" t="s">
        <v>377</v>
      </c>
      <c r="D3" s="198" t="s">
        <v>377</v>
      </c>
      <c r="E3" s="198" t="s">
        <v>377</v>
      </c>
      <c r="F3" s="198" t="s">
        <v>377</v>
      </c>
      <c r="G3" s="198" t="s">
        <v>377</v>
      </c>
      <c r="H3" s="198" t="s">
        <v>377</v>
      </c>
      <c r="I3" s="198" t="s">
        <v>377</v>
      </c>
      <c r="J3" s="198" t="s">
        <v>377</v>
      </c>
      <c r="K3" s="198" t="s">
        <v>377</v>
      </c>
      <c r="L3" s="198" t="s">
        <v>377</v>
      </c>
      <c r="M3" s="198" t="s">
        <v>377</v>
      </c>
      <c r="N3" s="198" t="s">
        <v>377</v>
      </c>
      <c r="O3" s="198" t="s">
        <v>377</v>
      </c>
      <c r="P3" s="198" t="s">
        <v>377</v>
      </c>
    </row>
    <row r="4" spans="1:27" s="80" customFormat="1" ht="17.25" customHeight="1">
      <c r="A4" s="194" t="s">
        <v>378</v>
      </c>
      <c r="B4" s="195"/>
      <c r="C4" s="195"/>
      <c r="D4" s="195"/>
      <c r="E4" s="195"/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5"/>
    </row>
    <row r="5" spans="1:27" ht="17.399999999999999">
      <c r="A5" s="199" t="s">
        <v>379</v>
      </c>
      <c r="B5" s="199" t="s">
        <v>379</v>
      </c>
      <c r="C5" s="199" t="s">
        <v>379</v>
      </c>
      <c r="D5" s="199" t="s">
        <v>379</v>
      </c>
      <c r="E5" s="199" t="s">
        <v>379</v>
      </c>
      <c r="F5" s="199" t="s">
        <v>379</v>
      </c>
      <c r="G5" s="73" t="s">
        <v>380</v>
      </c>
      <c r="H5" s="73" t="s">
        <v>381</v>
      </c>
      <c r="I5" s="73" t="s">
        <v>382</v>
      </c>
      <c r="J5" s="73" t="s">
        <v>383</v>
      </c>
      <c r="K5" s="73" t="s">
        <v>384</v>
      </c>
      <c r="L5" s="73" t="s">
        <v>385</v>
      </c>
      <c r="M5" s="73" t="s">
        <v>386</v>
      </c>
      <c r="N5" s="73" t="s">
        <v>387</v>
      </c>
      <c r="O5" s="73" t="s">
        <v>388</v>
      </c>
      <c r="P5" s="73" t="s">
        <v>389</v>
      </c>
      <c r="Q5" s="201" t="s">
        <v>390</v>
      </c>
      <c r="R5" s="201"/>
      <c r="S5" s="201"/>
      <c r="T5" s="201"/>
      <c r="U5" s="201"/>
      <c r="V5" s="201"/>
      <c r="W5" s="201"/>
      <c r="X5" s="201"/>
      <c r="Y5" s="201"/>
      <c r="Z5" s="201"/>
      <c r="AA5" s="201"/>
    </row>
    <row r="6" spans="1:27" ht="18" customHeight="1">
      <c r="A6" s="200" t="s">
        <v>391</v>
      </c>
      <c r="B6" s="200" t="s">
        <v>391</v>
      </c>
      <c r="C6" s="200" t="s">
        <v>391</v>
      </c>
      <c r="D6" s="200" t="s">
        <v>391</v>
      </c>
      <c r="E6" s="200" t="s">
        <v>391</v>
      </c>
      <c r="F6" s="200" t="s">
        <v>391</v>
      </c>
      <c r="G6" s="78">
        <f>'Conduit Data'!M4</f>
        <v>17.119999999999997</v>
      </c>
      <c r="H6" s="78">
        <f>'Conduit Data'!M5</f>
        <v>22.34</v>
      </c>
      <c r="I6" s="78">
        <f>'Conduit Data'!M6</f>
        <v>28.450000000000003</v>
      </c>
      <c r="J6" s="78">
        <f>'Conduit Data'!M7</f>
        <v>37.270000000000003</v>
      </c>
      <c r="K6" s="78">
        <f>'Conduit Data'!M8</f>
        <v>43.230000000000004</v>
      </c>
      <c r="L6" s="78">
        <f>'Conduit Data'!M9</f>
        <v>55.11</v>
      </c>
      <c r="M6" s="78">
        <f>'Conduit Data'!M10</f>
        <v>65.44</v>
      </c>
      <c r="N6" s="78">
        <f>'Conduit Data'!M11</f>
        <v>81.17</v>
      </c>
      <c r="O6" s="78">
        <f>'Conduit Data'!M12</f>
        <v>93.74</v>
      </c>
      <c r="P6" s="78">
        <f>'Conduit Data'!M13</f>
        <v>106.28</v>
      </c>
      <c r="Q6" s="22"/>
      <c r="R6" s="79" t="s">
        <v>392</v>
      </c>
      <c r="S6" s="22"/>
      <c r="T6" s="22"/>
      <c r="U6" s="22"/>
      <c r="V6" s="22"/>
      <c r="W6" s="22"/>
      <c r="X6" s="22"/>
      <c r="Y6" s="22"/>
      <c r="Z6" s="22"/>
      <c r="AA6" s="22"/>
    </row>
    <row r="7" spans="1:27" ht="17.399999999999999">
      <c r="A7" s="200" t="s">
        <v>393</v>
      </c>
      <c r="B7" s="200" t="s">
        <v>393</v>
      </c>
      <c r="C7" s="200" t="s">
        <v>393</v>
      </c>
      <c r="D7" s="200" t="s">
        <v>393</v>
      </c>
      <c r="E7" s="200" t="s">
        <v>393</v>
      </c>
      <c r="F7" s="200" t="s">
        <v>393</v>
      </c>
      <c r="G7" s="78">
        <f t="shared" ref="G7:P7" si="0">PI()*G6^2/4</f>
        <v>230.19580346207698</v>
      </c>
      <c r="H7" s="78">
        <f t="shared" si="0"/>
        <v>391.97305963647955</v>
      </c>
      <c r="I7" s="78">
        <f t="shared" si="0"/>
        <v>635.70323694930323</v>
      </c>
      <c r="J7" s="78">
        <f t="shared" si="0"/>
        <v>1090.9595965218996</v>
      </c>
      <c r="K7" s="78">
        <f t="shared" si="0"/>
        <v>1467.7779273567273</v>
      </c>
      <c r="L7" s="78">
        <f t="shared" si="0"/>
        <v>2385.3422653721673</v>
      </c>
      <c r="M7" s="78">
        <f t="shared" si="0"/>
        <v>3363.3840683849862</v>
      </c>
      <c r="N7" s="78">
        <f t="shared" si="0"/>
        <v>5174.6499134775459</v>
      </c>
      <c r="O7" s="78">
        <f t="shared" si="0"/>
        <v>6901.4410024688304</v>
      </c>
      <c r="P7" s="78">
        <f t="shared" si="0"/>
        <v>8871.4165741290126</v>
      </c>
    </row>
    <row r="9" spans="1:27" ht="52.2">
      <c r="A9" s="73" t="s">
        <v>394</v>
      </c>
      <c r="B9" s="73" t="s">
        <v>395</v>
      </c>
      <c r="C9" s="73" t="s">
        <v>396</v>
      </c>
      <c r="D9" s="73" t="s">
        <v>397</v>
      </c>
      <c r="E9" s="73" t="s">
        <v>398</v>
      </c>
      <c r="F9" s="73" t="s">
        <v>399</v>
      </c>
      <c r="G9" s="73" t="s">
        <v>380</v>
      </c>
      <c r="H9" s="73" t="s">
        <v>381</v>
      </c>
      <c r="I9" s="73" t="s">
        <v>382</v>
      </c>
      <c r="J9" s="73" t="s">
        <v>383</v>
      </c>
      <c r="K9" s="73" t="s">
        <v>384</v>
      </c>
      <c r="L9" s="73" t="s">
        <v>385</v>
      </c>
      <c r="M9" s="73" t="s">
        <v>386</v>
      </c>
      <c r="N9" s="73" t="s">
        <v>387</v>
      </c>
      <c r="O9" s="73" t="s">
        <v>388</v>
      </c>
      <c r="P9" s="73" t="s">
        <v>389</v>
      </c>
      <c r="Q9" s="89" t="s">
        <v>400</v>
      </c>
      <c r="R9" s="89" t="s">
        <v>380</v>
      </c>
      <c r="S9" s="89" t="s">
        <v>381</v>
      </c>
      <c r="T9" s="89" t="s">
        <v>382</v>
      </c>
      <c r="U9" s="89" t="s">
        <v>383</v>
      </c>
      <c r="V9" s="89" t="s">
        <v>384</v>
      </c>
      <c r="W9" s="89" t="s">
        <v>385</v>
      </c>
      <c r="X9" s="89" t="s">
        <v>386</v>
      </c>
      <c r="Y9" s="89" t="s">
        <v>387</v>
      </c>
      <c r="Z9" s="89" t="s">
        <v>388</v>
      </c>
      <c r="AA9" s="89" t="s">
        <v>389</v>
      </c>
    </row>
    <row r="10" spans="1:27" ht="34.799999999999997">
      <c r="A10" s="74" t="s">
        <v>401</v>
      </c>
      <c r="B10" s="74" t="s">
        <v>345</v>
      </c>
      <c r="C10" s="74">
        <v>1</v>
      </c>
      <c r="D10" s="75">
        <v>4</v>
      </c>
      <c r="E10" s="76">
        <f>'Vendor Register'!$E$4</f>
        <v>6</v>
      </c>
      <c r="F10" s="77">
        <f t="shared" ref="F10:F41" si="1">PI()*E10^2/4</f>
        <v>28.274333882308138</v>
      </c>
      <c r="G10" s="134">
        <f t="shared" ref="G10:P19" si="2">IF(G$7="",0,IF(INT(0.4*G$7/$F10)&gt;=3,INT(0.4*G$7/$F10),IF(INT(0.31*G$7/$F10)&gt;=2,2,IF(0.53*G$7/$F10&gt;=1,1,0))))</f>
        <v>3</v>
      </c>
      <c r="H10" s="134">
        <f t="shared" si="2"/>
        <v>5</v>
      </c>
      <c r="I10" s="134">
        <f t="shared" si="2"/>
        <v>8</v>
      </c>
      <c r="J10" s="134">
        <f t="shared" si="2"/>
        <v>15</v>
      </c>
      <c r="K10" s="134">
        <f t="shared" si="2"/>
        <v>20</v>
      </c>
      <c r="L10" s="134">
        <f t="shared" si="2"/>
        <v>33</v>
      </c>
      <c r="M10" s="134">
        <f t="shared" si="2"/>
        <v>47</v>
      </c>
      <c r="N10" s="134">
        <f t="shared" si="2"/>
        <v>73</v>
      </c>
      <c r="O10" s="134">
        <f t="shared" si="2"/>
        <v>97</v>
      </c>
      <c r="P10" s="134">
        <f t="shared" si="2"/>
        <v>125</v>
      </c>
      <c r="Q10" s="90" t="str">
        <f>B10</f>
        <v>Phelps Dodge H1Z2Z2-K 4 mm²</v>
      </c>
      <c r="R10" s="91">
        <f>IFERROR($G10*$F10/G$7,"")</f>
        <v>0.3684819634902613</v>
      </c>
      <c r="S10" s="91">
        <f>IFERROR($H10*$F10/H$7,"")</f>
        <v>0.36066680078128444</v>
      </c>
      <c r="T10" s="91">
        <f>IFERROR($I10*$F10/I$7,"")</f>
        <v>0.35581802626011155</v>
      </c>
      <c r="U10" s="91">
        <f>IFERROR($J10*$F10/J$7,"")</f>
        <v>0.38875409280668854</v>
      </c>
      <c r="V10" s="91">
        <f>IFERROR($K10*$F10/K$7,"")</f>
        <v>0.38526719002003867</v>
      </c>
      <c r="W10" s="91">
        <f>IFERROR($L10*$F10/L$7,"")</f>
        <v>0.3911610638277066</v>
      </c>
      <c r="X10" s="91">
        <f>IFERROR($M10*$F10/M$7,"")</f>
        <v>0.39510613877248468</v>
      </c>
      <c r="Y10" s="91">
        <f>IFERROR($N10*$F10/N$7,"")</f>
        <v>0.39887265958469376</v>
      </c>
      <c r="Z10" s="91">
        <f>IFERROR($O10*$F10/O$7,"")</f>
        <v>0.39739677345684538</v>
      </c>
      <c r="AA10" s="91">
        <f>IFERROR($P10*$F10/P$7,"")</f>
        <v>0.39839091150282396</v>
      </c>
    </row>
    <row r="11" spans="1:27" ht="34.799999999999997">
      <c r="A11" s="74" t="s">
        <v>401</v>
      </c>
      <c r="B11" s="74" t="s">
        <v>350</v>
      </c>
      <c r="C11" s="74">
        <v>1</v>
      </c>
      <c r="D11" s="75">
        <v>6</v>
      </c>
      <c r="E11" s="76">
        <f>'Vendor Register'!$E$5</f>
        <v>7</v>
      </c>
      <c r="F11" s="77">
        <f t="shared" si="1"/>
        <v>38.484510006474963</v>
      </c>
      <c r="G11" s="134">
        <f t="shared" si="2"/>
        <v>1</v>
      </c>
      <c r="H11" s="134">
        <f t="shared" si="2"/>
        <v>4</v>
      </c>
      <c r="I11" s="134">
        <f t="shared" si="2"/>
        <v>6</v>
      </c>
      <c r="J11" s="134">
        <f t="shared" si="2"/>
        <v>11</v>
      </c>
      <c r="K11" s="134">
        <f t="shared" si="2"/>
        <v>15</v>
      </c>
      <c r="L11" s="134">
        <f t="shared" si="2"/>
        <v>24</v>
      </c>
      <c r="M11" s="134">
        <f t="shared" si="2"/>
        <v>34</v>
      </c>
      <c r="N11" s="134">
        <f t="shared" si="2"/>
        <v>53</v>
      </c>
      <c r="O11" s="134">
        <f t="shared" si="2"/>
        <v>71</v>
      </c>
      <c r="P11" s="134">
        <f t="shared" si="2"/>
        <v>92</v>
      </c>
      <c r="Q11" s="90" t="str">
        <f>B11</f>
        <v>Phelps Dodge H1Z2Z2-K 6 mm²</v>
      </c>
      <c r="R11" s="91">
        <f>IFERROR($G11*$F11/G$7,"")</f>
        <v>0.16718163158354446</v>
      </c>
      <c r="S11" s="91">
        <f>IFERROR($H11*$F11/H$7,"")</f>
        <v>0.392726071961843</v>
      </c>
      <c r="T11" s="91">
        <f>IFERROR($I11*$F11/I$7,"")</f>
        <v>0.36323090180719719</v>
      </c>
      <c r="U11" s="91">
        <f>IFERROR($J11*$F11/J$7,"")</f>
        <v>0.38803417782000948</v>
      </c>
      <c r="V11" s="91">
        <f>IFERROR($K11*$F11/K$7,"")</f>
        <v>0.39329358981212281</v>
      </c>
      <c r="W11" s="91">
        <f>IFERROR($L11*$F11/L$7,"")</f>
        <v>0.38720994197086106</v>
      </c>
      <c r="X11" s="91">
        <f>IFERROR($M11*$F11/M$7,"")</f>
        <v>0.38903476784572066</v>
      </c>
      <c r="Y11" s="91">
        <f>IFERROR($N11*$F11/N$7,"")</f>
        <v>0.39416754069309345</v>
      </c>
      <c r="Z11" s="91">
        <f>IFERROR($O11*$F11/O$7,"")</f>
        <v>0.39591734675153634</v>
      </c>
      <c r="AA11" s="91">
        <f>IFERROR($P11*$F11/P$7,"")</f>
        <v>0.39909916201216233</v>
      </c>
    </row>
    <row r="12" spans="1:27" ht="34.799999999999997">
      <c r="A12" s="74" t="s">
        <v>401</v>
      </c>
      <c r="B12" s="74" t="s">
        <v>402</v>
      </c>
      <c r="C12" s="74">
        <v>1</v>
      </c>
      <c r="D12" s="75">
        <v>10</v>
      </c>
      <c r="E12" s="76">
        <f>'Vendor Register'!$E$6</f>
        <v>8.1999999999999993</v>
      </c>
      <c r="F12" s="77">
        <f t="shared" si="1"/>
        <v>52.810172506844417</v>
      </c>
      <c r="G12" s="134">
        <f t="shared" si="2"/>
        <v>1</v>
      </c>
      <c r="H12" s="134">
        <f t="shared" si="2"/>
        <v>2</v>
      </c>
      <c r="I12" s="134">
        <f t="shared" si="2"/>
        <v>4</v>
      </c>
      <c r="J12" s="134">
        <f t="shared" si="2"/>
        <v>8</v>
      </c>
      <c r="K12" s="134">
        <f t="shared" si="2"/>
        <v>11</v>
      </c>
      <c r="L12" s="134">
        <f t="shared" si="2"/>
        <v>18</v>
      </c>
      <c r="M12" s="134">
        <f t="shared" si="2"/>
        <v>25</v>
      </c>
      <c r="N12" s="134">
        <f t="shared" si="2"/>
        <v>39</v>
      </c>
      <c r="O12" s="134">
        <f t="shared" si="2"/>
        <v>52</v>
      </c>
      <c r="P12" s="134">
        <f t="shared" si="2"/>
        <v>67</v>
      </c>
      <c r="Q12" s="90" t="str">
        <f>B12</f>
        <v>Phelps Dodge H1Z2Z2-K 10 mm²</v>
      </c>
      <c r="R12" s="91">
        <f>IFERROR($G12*$F12/G$7,"")</f>
        <v>0.2294141409730108</v>
      </c>
      <c r="S12" s="91">
        <f>IFERROR($H12*$F12/H$7,"")</f>
        <v>0.26945817427259516</v>
      </c>
      <c r="T12" s="91">
        <f>IFERROR($I12*$F12/I$7,"")</f>
        <v>0.33229450119069304</v>
      </c>
      <c r="U12" s="91">
        <f>IFERROR($J12*$F12/J$7,"")</f>
        <v>0.38725666963439609</v>
      </c>
      <c r="V12" s="91">
        <f>IFERROR($K12*$F12/K$7,"")</f>
        <v>0.39577642281447406</v>
      </c>
      <c r="W12" s="91">
        <f>IFERROR($L12*$F12/L$7,"")</f>
        <v>0.39851015048143923</v>
      </c>
      <c r="X12" s="91">
        <f>IFERROR($M12*$F12/M$7,"")</f>
        <v>0.39253748184193066</v>
      </c>
      <c r="Y12" s="91">
        <f>IFERROR($N12*$F12/N$7,"")</f>
        <v>0.39801663150248001</v>
      </c>
      <c r="Z12" s="91">
        <f>IFERROR($O12*$F12/O$7,"")</f>
        <v>0.39790660665990563</v>
      </c>
      <c r="AA12" s="91">
        <f>IFERROR($P12*$F12/P$7,"")</f>
        <v>0.39884065057625379</v>
      </c>
    </row>
    <row r="13" spans="1:27" ht="34.799999999999997">
      <c r="A13" s="74" t="s">
        <v>401</v>
      </c>
      <c r="B13" s="74" t="s">
        <v>403</v>
      </c>
      <c r="C13" s="74">
        <v>1</v>
      </c>
      <c r="D13" s="75">
        <v>16</v>
      </c>
      <c r="E13" s="76">
        <f>'Vendor Register'!$E$7</f>
        <v>9.8000000000000007</v>
      </c>
      <c r="F13" s="77">
        <f t="shared" si="1"/>
        <v>75.429639612690949</v>
      </c>
      <c r="G13" s="134">
        <f t="shared" si="2"/>
        <v>1</v>
      </c>
      <c r="H13" s="134">
        <f t="shared" si="2"/>
        <v>1</v>
      </c>
      <c r="I13" s="134">
        <f t="shared" si="2"/>
        <v>3</v>
      </c>
      <c r="J13" s="134">
        <f t="shared" si="2"/>
        <v>5</v>
      </c>
      <c r="K13" s="134">
        <f t="shared" si="2"/>
        <v>7</v>
      </c>
      <c r="L13" s="134">
        <f t="shared" si="2"/>
        <v>12</v>
      </c>
      <c r="M13" s="134">
        <f t="shared" si="2"/>
        <v>17</v>
      </c>
      <c r="N13" s="134">
        <f t="shared" si="2"/>
        <v>27</v>
      </c>
      <c r="O13" s="134">
        <f t="shared" si="2"/>
        <v>36</v>
      </c>
      <c r="P13" s="134">
        <f t="shared" si="2"/>
        <v>47</v>
      </c>
      <c r="Q13" s="90" t="str">
        <f>B13</f>
        <v>Phelps Dodge H1Z2Z2-K 16 mm²</v>
      </c>
      <c r="R13" s="91">
        <f>IFERROR($G13*$F13/G$7,"")</f>
        <v>0.32767599790374724</v>
      </c>
      <c r="S13" s="91">
        <f>IFERROR($H13*$F13/H$7,"")</f>
        <v>0.19243577526130312</v>
      </c>
      <c r="T13" s="91">
        <f>IFERROR($I13*$F13/I$7,"")</f>
        <v>0.35596628377105338</v>
      </c>
      <c r="U13" s="91">
        <f>IFERROR($J13*$F13/J$7,"")</f>
        <v>0.34570317660328126</v>
      </c>
      <c r="V13" s="91">
        <f>IFERROR($K13*$F13/K$7,"")</f>
        <v>0.3597325368148217</v>
      </c>
      <c r="W13" s="91">
        <f>IFERROR($L13*$F13/L$7,"")</f>
        <v>0.37946574313144393</v>
      </c>
      <c r="X13" s="91">
        <f>IFERROR($M13*$F13/M$7,"")</f>
        <v>0.38125407248880644</v>
      </c>
      <c r="Y13" s="91">
        <f>IFERROR($N13*$F13/N$7,"")</f>
        <v>0.39357257082034924</v>
      </c>
      <c r="Z13" s="91">
        <f>IFERROR($O13*$F13/O$7,"")</f>
        <v>0.39346377446180858</v>
      </c>
      <c r="AA13" s="91">
        <f>IFERROR($P13*$F13/P$7,"")</f>
        <v>0.39961972613652608</v>
      </c>
    </row>
    <row r="14" spans="1:27" ht="21">
      <c r="A14" s="74" t="s">
        <v>404</v>
      </c>
      <c r="B14" s="74" t="s">
        <v>405</v>
      </c>
      <c r="C14" s="74">
        <v>1</v>
      </c>
      <c r="D14" s="75">
        <v>25</v>
      </c>
      <c r="E14" s="77">
        <v>12</v>
      </c>
      <c r="F14" s="77">
        <f t="shared" si="1"/>
        <v>113.09733552923255</v>
      </c>
      <c r="G14" s="135">
        <f t="shared" si="2"/>
        <v>1</v>
      </c>
      <c r="H14" s="135">
        <f t="shared" si="2"/>
        <v>1</v>
      </c>
      <c r="I14" s="135">
        <f t="shared" si="2"/>
        <v>1</v>
      </c>
      <c r="J14" s="135">
        <f t="shared" si="2"/>
        <v>3</v>
      </c>
      <c r="K14" s="135">
        <f t="shared" si="2"/>
        <v>5</v>
      </c>
      <c r="L14" s="135">
        <f t="shared" si="2"/>
        <v>8</v>
      </c>
      <c r="M14" s="135">
        <f t="shared" si="2"/>
        <v>11</v>
      </c>
      <c r="N14" s="135">
        <f t="shared" si="2"/>
        <v>18</v>
      </c>
      <c r="O14" s="135">
        <f t="shared" si="2"/>
        <v>24</v>
      </c>
      <c r="P14" s="135">
        <f t="shared" si="2"/>
        <v>31</v>
      </c>
      <c r="Q14" s="92"/>
      <c r="R14" s="91">
        <f t="shared" ref="R14:R65" si="3">IFERROR($G14*$F14/G$7,"")</f>
        <v>0.49130928465368173</v>
      </c>
      <c r="S14" s="91">
        <f t="shared" ref="S14:S65" si="4">IFERROR($H14*$F14/H$7,"")</f>
        <v>0.28853344062502756</v>
      </c>
      <c r="T14" s="91">
        <f t="shared" ref="T14:T65" si="5">IFERROR($I14*$F14/I$7,"")</f>
        <v>0.17790901313005578</v>
      </c>
      <c r="U14" s="91">
        <f t="shared" ref="U14:U65" si="6">IFERROR($J14*$F14/J$7,"")</f>
        <v>0.31100327424535085</v>
      </c>
      <c r="V14" s="91">
        <f t="shared" ref="V14:V65" si="7">IFERROR($K14*$F14/K$7,"")</f>
        <v>0.38526719002003867</v>
      </c>
      <c r="W14" s="91">
        <f t="shared" ref="W14:W65" si="8">IFERROR($L14*$F14/L$7,"")</f>
        <v>0.37930769825717003</v>
      </c>
      <c r="X14" s="91">
        <f t="shared" ref="X14:X65" si="9">IFERROR($M14*$F14/M$7,"")</f>
        <v>0.36988659799977291</v>
      </c>
      <c r="Y14" s="91">
        <f t="shared" ref="Y14:Y65" si="10">IFERROR($N14*$F14/N$7,"")</f>
        <v>0.39340865054928698</v>
      </c>
      <c r="Z14" s="91">
        <f t="shared" ref="Z14:Z65" si="11">IFERROR($O14*$F14/O$7,"")</f>
        <v>0.39329989950368199</v>
      </c>
      <c r="AA14" s="91">
        <f t="shared" ref="AA14:AA65" si="12">IFERROR($P14*$F14/P$7,"")</f>
        <v>0.39520378421080138</v>
      </c>
    </row>
    <row r="15" spans="1:27" ht="21">
      <c r="A15" s="74" t="s">
        <v>404</v>
      </c>
      <c r="B15" s="74" t="s">
        <v>406</v>
      </c>
      <c r="C15" s="74">
        <v>1</v>
      </c>
      <c r="D15" s="75">
        <v>35</v>
      </c>
      <c r="E15" s="77">
        <v>13</v>
      </c>
      <c r="F15" s="77">
        <f t="shared" si="1"/>
        <v>132.73228961416876</v>
      </c>
      <c r="G15" s="135">
        <f t="shared" si="2"/>
        <v>0</v>
      </c>
      <c r="H15" s="135">
        <f t="shared" si="2"/>
        <v>1</v>
      </c>
      <c r="I15" s="135">
        <f t="shared" si="2"/>
        <v>1</v>
      </c>
      <c r="J15" s="135">
        <f t="shared" si="2"/>
        <v>3</v>
      </c>
      <c r="K15" s="135">
        <f t="shared" si="2"/>
        <v>4</v>
      </c>
      <c r="L15" s="135">
        <f t="shared" si="2"/>
        <v>7</v>
      </c>
      <c r="M15" s="135">
        <f t="shared" si="2"/>
        <v>10</v>
      </c>
      <c r="N15" s="135">
        <f t="shared" si="2"/>
        <v>15</v>
      </c>
      <c r="O15" s="135">
        <f t="shared" si="2"/>
        <v>20</v>
      </c>
      <c r="P15" s="135">
        <f t="shared" si="2"/>
        <v>26</v>
      </c>
      <c r="Q15" s="92"/>
      <c r="R15" s="91">
        <f t="shared" si="3"/>
        <v>0</v>
      </c>
      <c r="S15" s="91">
        <f t="shared" si="4"/>
        <v>0.33862605184465039</v>
      </c>
      <c r="T15" s="91">
        <f t="shared" si="5"/>
        <v>0.20879599457624604</v>
      </c>
      <c r="U15" s="91">
        <f t="shared" si="6"/>
        <v>0.36499689824627984</v>
      </c>
      <c r="V15" s="91">
        <f t="shared" si="7"/>
        <v>0.36172308396325853</v>
      </c>
      <c r="W15" s="91">
        <f t="shared" si="8"/>
        <v>0.389514763054021</v>
      </c>
      <c r="X15" s="91">
        <f t="shared" si="9"/>
        <v>0.3946391102396567</v>
      </c>
      <c r="Y15" s="91">
        <f t="shared" si="10"/>
        <v>0.38475730290989291</v>
      </c>
      <c r="Z15" s="91">
        <f t="shared" si="11"/>
        <v>0.38465094338033712</v>
      </c>
      <c r="AA15" s="91">
        <f t="shared" si="12"/>
        <v>0.38900659225409079</v>
      </c>
    </row>
    <row r="16" spans="1:27" ht="21">
      <c r="A16" s="74" t="s">
        <v>404</v>
      </c>
      <c r="B16" s="74" t="s">
        <v>407</v>
      </c>
      <c r="C16" s="74">
        <v>1</v>
      </c>
      <c r="D16" s="75">
        <v>50</v>
      </c>
      <c r="E16" s="77">
        <v>15</v>
      </c>
      <c r="F16" s="77">
        <f t="shared" si="1"/>
        <v>176.71458676442586</v>
      </c>
      <c r="G16" s="135">
        <f t="shared" si="2"/>
        <v>0</v>
      </c>
      <c r="H16" s="135">
        <f t="shared" si="2"/>
        <v>1</v>
      </c>
      <c r="I16" s="135">
        <f t="shared" si="2"/>
        <v>1</v>
      </c>
      <c r="J16" s="135">
        <f t="shared" si="2"/>
        <v>1</v>
      </c>
      <c r="K16" s="135">
        <f t="shared" si="2"/>
        <v>3</v>
      </c>
      <c r="L16" s="135">
        <f t="shared" si="2"/>
        <v>5</v>
      </c>
      <c r="M16" s="135">
        <f t="shared" si="2"/>
        <v>7</v>
      </c>
      <c r="N16" s="135">
        <f t="shared" si="2"/>
        <v>11</v>
      </c>
      <c r="O16" s="135">
        <f t="shared" si="2"/>
        <v>15</v>
      </c>
      <c r="P16" s="135">
        <f t="shared" si="2"/>
        <v>20</v>
      </c>
      <c r="Q16" s="92"/>
      <c r="R16" s="91">
        <f t="shared" si="3"/>
        <v>0</v>
      </c>
      <c r="S16" s="91">
        <f t="shared" si="4"/>
        <v>0.45083350097660552</v>
      </c>
      <c r="T16" s="91">
        <f t="shared" si="5"/>
        <v>0.27798283301571214</v>
      </c>
      <c r="U16" s="91">
        <f t="shared" si="6"/>
        <v>0.16198087200278691</v>
      </c>
      <c r="V16" s="91">
        <f t="shared" si="7"/>
        <v>0.36118799064378626</v>
      </c>
      <c r="W16" s="91">
        <f t="shared" si="8"/>
        <v>0.37041767407926757</v>
      </c>
      <c r="X16" s="91">
        <f t="shared" si="9"/>
        <v>0.36778496960204693</v>
      </c>
      <c r="Y16" s="91">
        <f t="shared" si="10"/>
        <v>0.37565062118421499</v>
      </c>
      <c r="Z16" s="91">
        <f t="shared" si="11"/>
        <v>0.38408193310906447</v>
      </c>
      <c r="AA16" s="91">
        <f t="shared" si="12"/>
        <v>0.39839091150282396</v>
      </c>
    </row>
    <row r="17" spans="1:27" ht="21">
      <c r="A17" s="74" t="s">
        <v>404</v>
      </c>
      <c r="B17" s="74" t="s">
        <v>408</v>
      </c>
      <c r="C17" s="74">
        <v>1</v>
      </c>
      <c r="D17" s="75">
        <v>70</v>
      </c>
      <c r="E17" s="77">
        <v>16</v>
      </c>
      <c r="F17" s="77">
        <f t="shared" si="1"/>
        <v>201.06192982974676</v>
      </c>
      <c r="G17" s="135">
        <f t="shared" si="2"/>
        <v>0</v>
      </c>
      <c r="H17" s="135">
        <f t="shared" si="2"/>
        <v>1</v>
      </c>
      <c r="I17" s="135">
        <f t="shared" si="2"/>
        <v>1</v>
      </c>
      <c r="J17" s="135">
        <f t="shared" si="2"/>
        <v>1</v>
      </c>
      <c r="K17" s="135">
        <f t="shared" si="2"/>
        <v>2</v>
      </c>
      <c r="L17" s="135">
        <f t="shared" si="2"/>
        <v>4</v>
      </c>
      <c r="M17" s="135">
        <f t="shared" si="2"/>
        <v>6</v>
      </c>
      <c r="N17" s="135">
        <f t="shared" si="2"/>
        <v>10</v>
      </c>
      <c r="O17" s="135">
        <f t="shared" si="2"/>
        <v>13</v>
      </c>
      <c r="P17" s="135">
        <f t="shared" si="2"/>
        <v>17</v>
      </c>
      <c r="Q17" s="92"/>
      <c r="R17" s="91">
        <f t="shared" si="3"/>
        <v>0</v>
      </c>
      <c r="S17" s="91">
        <f t="shared" si="4"/>
        <v>0.51294833888893787</v>
      </c>
      <c r="T17" s="91">
        <f t="shared" si="5"/>
        <v>0.31628269000898807</v>
      </c>
      <c r="U17" s="91">
        <f t="shared" si="6"/>
        <v>0.18429823658983754</v>
      </c>
      <c r="V17" s="91">
        <f t="shared" si="7"/>
        <v>0.27396777956980528</v>
      </c>
      <c r="W17" s="91">
        <f t="shared" si="8"/>
        <v>0.3371623984508178</v>
      </c>
      <c r="X17" s="91">
        <f t="shared" si="9"/>
        <v>0.35867791321190101</v>
      </c>
      <c r="Y17" s="91">
        <f t="shared" si="10"/>
        <v>0.38855175362892541</v>
      </c>
      <c r="Z17" s="91">
        <f t="shared" si="11"/>
        <v>0.37873323655910118</v>
      </c>
      <c r="AA17" s="91">
        <f t="shared" si="12"/>
        <v>0.38528827708006447</v>
      </c>
    </row>
    <row r="18" spans="1:27" ht="21">
      <c r="A18" s="74" t="s">
        <v>404</v>
      </c>
      <c r="B18" s="74" t="s">
        <v>409</v>
      </c>
      <c r="C18" s="74">
        <v>1</v>
      </c>
      <c r="D18" s="75">
        <v>95</v>
      </c>
      <c r="E18" s="77">
        <v>18</v>
      </c>
      <c r="F18" s="77">
        <f t="shared" si="1"/>
        <v>254.46900494077323</v>
      </c>
      <c r="G18" s="135">
        <f t="shared" si="2"/>
        <v>0</v>
      </c>
      <c r="H18" s="135">
        <f t="shared" si="2"/>
        <v>0</v>
      </c>
      <c r="I18" s="135">
        <f t="shared" si="2"/>
        <v>1</v>
      </c>
      <c r="J18" s="135">
        <f t="shared" si="2"/>
        <v>1</v>
      </c>
      <c r="K18" s="135">
        <f t="shared" si="2"/>
        <v>1</v>
      </c>
      <c r="L18" s="135">
        <f t="shared" si="2"/>
        <v>3</v>
      </c>
      <c r="M18" s="135">
        <f t="shared" si="2"/>
        <v>5</v>
      </c>
      <c r="N18" s="135">
        <f t="shared" si="2"/>
        <v>8</v>
      </c>
      <c r="O18" s="135">
        <f t="shared" si="2"/>
        <v>10</v>
      </c>
      <c r="P18" s="135">
        <f t="shared" si="2"/>
        <v>13</v>
      </c>
      <c r="Q18" s="92"/>
      <c r="R18" s="91">
        <f t="shared" si="3"/>
        <v>0</v>
      </c>
      <c r="S18" s="91">
        <f t="shared" si="4"/>
        <v>0</v>
      </c>
      <c r="T18" s="91">
        <f t="shared" si="5"/>
        <v>0.4002952795426255</v>
      </c>
      <c r="U18" s="91">
        <f t="shared" si="6"/>
        <v>0.23325245568401312</v>
      </c>
      <c r="V18" s="91">
        <f t="shared" si="7"/>
        <v>0.1733702355090174</v>
      </c>
      <c r="W18" s="91">
        <f t="shared" si="8"/>
        <v>0.3200408704044872</v>
      </c>
      <c r="X18" s="91">
        <f t="shared" si="9"/>
        <v>0.3782931115906768</v>
      </c>
      <c r="Y18" s="91">
        <f t="shared" si="10"/>
        <v>0.39340865054928698</v>
      </c>
      <c r="Z18" s="91">
        <f t="shared" si="11"/>
        <v>0.36871865578470181</v>
      </c>
      <c r="AA18" s="91">
        <f t="shared" si="12"/>
        <v>0.37289389316664323</v>
      </c>
    </row>
    <row r="19" spans="1:27" ht="21">
      <c r="A19" s="74" t="s">
        <v>404</v>
      </c>
      <c r="B19" s="74" t="s">
        <v>410</v>
      </c>
      <c r="C19" s="74">
        <v>1</v>
      </c>
      <c r="D19" s="75">
        <v>120</v>
      </c>
      <c r="E19" s="77">
        <v>20</v>
      </c>
      <c r="F19" s="77">
        <f t="shared" si="1"/>
        <v>314.15926535897933</v>
      </c>
      <c r="G19" s="135">
        <f t="shared" si="2"/>
        <v>0</v>
      </c>
      <c r="H19" s="135">
        <f t="shared" si="2"/>
        <v>0</v>
      </c>
      <c r="I19" s="135">
        <f t="shared" si="2"/>
        <v>1</v>
      </c>
      <c r="J19" s="135">
        <f t="shared" si="2"/>
        <v>1</v>
      </c>
      <c r="K19" s="135">
        <f t="shared" si="2"/>
        <v>1</v>
      </c>
      <c r="L19" s="135">
        <f t="shared" si="2"/>
        <v>3</v>
      </c>
      <c r="M19" s="135">
        <f t="shared" si="2"/>
        <v>4</v>
      </c>
      <c r="N19" s="135">
        <f t="shared" si="2"/>
        <v>6</v>
      </c>
      <c r="O19" s="135">
        <f t="shared" si="2"/>
        <v>8</v>
      </c>
      <c r="P19" s="135">
        <f t="shared" si="2"/>
        <v>11</v>
      </c>
      <c r="Q19" s="92"/>
      <c r="R19" s="91">
        <f t="shared" si="3"/>
        <v>0</v>
      </c>
      <c r="S19" s="91">
        <f t="shared" si="4"/>
        <v>0</v>
      </c>
      <c r="T19" s="91">
        <f t="shared" si="5"/>
        <v>0.49419170313904387</v>
      </c>
      <c r="U19" s="91">
        <f t="shared" si="6"/>
        <v>0.28796599467162115</v>
      </c>
      <c r="V19" s="91">
        <f t="shared" si="7"/>
        <v>0.21403732778891038</v>
      </c>
      <c r="W19" s="91">
        <f t="shared" si="8"/>
        <v>0.39511218568455209</v>
      </c>
      <c r="X19" s="91">
        <f t="shared" si="9"/>
        <v>0.3736228262623969</v>
      </c>
      <c r="Y19" s="91">
        <f t="shared" si="10"/>
        <v>0.36426726902711759</v>
      </c>
      <c r="Z19" s="91">
        <f t="shared" si="11"/>
        <v>0.36416657361452037</v>
      </c>
      <c r="AA19" s="91">
        <f t="shared" si="12"/>
        <v>0.38953778013609458</v>
      </c>
    </row>
    <row r="20" spans="1:27" ht="21">
      <c r="A20" s="74" t="s">
        <v>404</v>
      </c>
      <c r="B20" s="74" t="s">
        <v>411</v>
      </c>
      <c r="C20" s="74">
        <v>1</v>
      </c>
      <c r="D20" s="75">
        <v>150</v>
      </c>
      <c r="E20" s="77">
        <v>22</v>
      </c>
      <c r="F20" s="77">
        <f t="shared" si="1"/>
        <v>380.13271108436498</v>
      </c>
      <c r="G20" s="135">
        <f t="shared" ref="G20:P29" si="13">IF(INT(0.4*G$7/$F20)&gt;=3,INT(0.4*G$7/$F20),IF(INT(0.31*G$7/$F20)&gt;=2,2,IF(0.53*G$7/$F20&gt;=1,1,0)))</f>
        <v>0</v>
      </c>
      <c r="H20" s="135">
        <f t="shared" si="13"/>
        <v>0</v>
      </c>
      <c r="I20" s="135">
        <f t="shared" si="13"/>
        <v>0</v>
      </c>
      <c r="J20" s="135">
        <f t="shared" si="13"/>
        <v>1</v>
      </c>
      <c r="K20" s="135">
        <f t="shared" si="13"/>
        <v>1</v>
      </c>
      <c r="L20" s="135">
        <f t="shared" si="13"/>
        <v>1</v>
      </c>
      <c r="M20" s="135">
        <f t="shared" si="13"/>
        <v>3</v>
      </c>
      <c r="N20" s="135">
        <f t="shared" si="13"/>
        <v>5</v>
      </c>
      <c r="O20" s="135">
        <f t="shared" si="13"/>
        <v>7</v>
      </c>
      <c r="P20" s="135">
        <f t="shared" si="13"/>
        <v>9</v>
      </c>
      <c r="Q20" s="92"/>
      <c r="R20" s="91">
        <f t="shared" si="3"/>
        <v>0</v>
      </c>
      <c r="S20" s="91">
        <f t="shared" si="4"/>
        <v>0</v>
      </c>
      <c r="T20" s="91">
        <f t="shared" si="5"/>
        <v>0</v>
      </c>
      <c r="U20" s="91">
        <f t="shared" si="6"/>
        <v>0.34843885355266163</v>
      </c>
      <c r="V20" s="91">
        <f t="shared" si="7"/>
        <v>0.25898516662458154</v>
      </c>
      <c r="W20" s="91">
        <f t="shared" si="8"/>
        <v>0.15936191489276935</v>
      </c>
      <c r="X20" s="91">
        <f t="shared" si="9"/>
        <v>0.33906271483312517</v>
      </c>
      <c r="Y20" s="91">
        <f t="shared" si="10"/>
        <v>0.36730282960234356</v>
      </c>
      <c r="Z20" s="91">
        <f t="shared" si="11"/>
        <v>0.38556135981437345</v>
      </c>
      <c r="AA20" s="91">
        <f t="shared" si="12"/>
        <v>0.38564240233473362</v>
      </c>
    </row>
    <row r="21" spans="1:27" ht="21">
      <c r="A21" s="74" t="s">
        <v>404</v>
      </c>
      <c r="B21" s="74" t="s">
        <v>412</v>
      </c>
      <c r="C21" s="74">
        <v>1</v>
      </c>
      <c r="D21" s="75">
        <v>185</v>
      </c>
      <c r="E21" s="77">
        <v>24</v>
      </c>
      <c r="F21" s="77">
        <f t="shared" si="1"/>
        <v>452.38934211693021</v>
      </c>
      <c r="G21" s="135">
        <f t="shared" si="13"/>
        <v>0</v>
      </c>
      <c r="H21" s="135">
        <f t="shared" si="13"/>
        <v>0</v>
      </c>
      <c r="I21" s="135">
        <f t="shared" si="13"/>
        <v>0</v>
      </c>
      <c r="J21" s="135">
        <f t="shared" si="13"/>
        <v>1</v>
      </c>
      <c r="K21" s="135">
        <f t="shared" si="13"/>
        <v>1</v>
      </c>
      <c r="L21" s="135">
        <f t="shared" si="13"/>
        <v>1</v>
      </c>
      <c r="M21" s="135">
        <f t="shared" si="13"/>
        <v>2</v>
      </c>
      <c r="N21" s="135">
        <f t="shared" si="13"/>
        <v>4</v>
      </c>
      <c r="O21" s="135">
        <f t="shared" si="13"/>
        <v>6</v>
      </c>
      <c r="P21" s="135">
        <f t="shared" si="13"/>
        <v>7</v>
      </c>
      <c r="Q21" s="92"/>
      <c r="R21" s="91">
        <f t="shared" si="3"/>
        <v>0</v>
      </c>
      <c r="S21" s="91">
        <f t="shared" si="4"/>
        <v>0</v>
      </c>
      <c r="T21" s="91">
        <f t="shared" si="5"/>
        <v>0</v>
      </c>
      <c r="U21" s="91">
        <f t="shared" si="6"/>
        <v>0.41467103232713448</v>
      </c>
      <c r="V21" s="91">
        <f t="shared" si="7"/>
        <v>0.30821375201603091</v>
      </c>
      <c r="W21" s="91">
        <f t="shared" si="8"/>
        <v>0.18965384912858502</v>
      </c>
      <c r="X21" s="91">
        <f t="shared" si="9"/>
        <v>0.26900843490892573</v>
      </c>
      <c r="Y21" s="91">
        <f t="shared" si="10"/>
        <v>0.3496965782660329</v>
      </c>
      <c r="Z21" s="91">
        <f t="shared" si="11"/>
        <v>0.39329989950368199</v>
      </c>
      <c r="AA21" s="91">
        <f t="shared" si="12"/>
        <v>0.35695825670653031</v>
      </c>
    </row>
    <row r="22" spans="1:27" ht="21">
      <c r="A22" s="74" t="s">
        <v>404</v>
      </c>
      <c r="B22" s="74" t="s">
        <v>413</v>
      </c>
      <c r="C22" s="74">
        <v>1</v>
      </c>
      <c r="D22" s="75">
        <v>240</v>
      </c>
      <c r="E22" s="77">
        <v>27</v>
      </c>
      <c r="F22" s="77">
        <f t="shared" si="1"/>
        <v>572.55526111673976</v>
      </c>
      <c r="G22" s="135">
        <f t="shared" si="13"/>
        <v>0</v>
      </c>
      <c r="H22" s="135">
        <f t="shared" si="13"/>
        <v>0</v>
      </c>
      <c r="I22" s="135">
        <f t="shared" si="13"/>
        <v>0</v>
      </c>
      <c r="J22" s="135">
        <f t="shared" si="13"/>
        <v>1</v>
      </c>
      <c r="K22" s="135">
        <f t="shared" si="13"/>
        <v>1</v>
      </c>
      <c r="L22" s="135">
        <f t="shared" si="13"/>
        <v>1</v>
      </c>
      <c r="M22" s="135">
        <f t="shared" si="13"/>
        <v>1</v>
      </c>
      <c r="N22" s="135">
        <f t="shared" si="13"/>
        <v>3</v>
      </c>
      <c r="O22" s="135">
        <f t="shared" si="13"/>
        <v>4</v>
      </c>
      <c r="P22" s="135">
        <f t="shared" si="13"/>
        <v>6</v>
      </c>
      <c r="Q22" s="92"/>
      <c r="R22" s="91">
        <f t="shared" si="3"/>
        <v>0</v>
      </c>
      <c r="S22" s="91">
        <f t="shared" si="4"/>
        <v>0</v>
      </c>
      <c r="T22" s="91">
        <f t="shared" si="5"/>
        <v>0</v>
      </c>
      <c r="U22" s="91">
        <f t="shared" si="6"/>
        <v>0.52481802528902954</v>
      </c>
      <c r="V22" s="91">
        <f t="shared" si="7"/>
        <v>0.39008302989528909</v>
      </c>
      <c r="W22" s="91">
        <f t="shared" si="8"/>
        <v>0.24003065280336539</v>
      </c>
      <c r="X22" s="91">
        <f t="shared" si="9"/>
        <v>0.17023190021580456</v>
      </c>
      <c r="Y22" s="91">
        <f t="shared" si="10"/>
        <v>0.33193854890096086</v>
      </c>
      <c r="Z22" s="91">
        <f t="shared" si="11"/>
        <v>0.33184679020623165</v>
      </c>
      <c r="AA22" s="91">
        <f t="shared" si="12"/>
        <v>0.38723596598074489</v>
      </c>
    </row>
    <row r="23" spans="1:27" ht="21">
      <c r="A23" s="74" t="s">
        <v>404</v>
      </c>
      <c r="B23" s="74" t="s">
        <v>414</v>
      </c>
      <c r="C23" s="74">
        <v>1</v>
      </c>
      <c r="D23" s="75">
        <v>300</v>
      </c>
      <c r="E23" s="77">
        <v>30</v>
      </c>
      <c r="F23" s="77">
        <f t="shared" si="1"/>
        <v>706.85834705770344</v>
      </c>
      <c r="G23" s="135">
        <f t="shared" si="13"/>
        <v>0</v>
      </c>
      <c r="H23" s="135">
        <f t="shared" si="13"/>
        <v>0</v>
      </c>
      <c r="I23" s="135">
        <f t="shared" si="13"/>
        <v>0</v>
      </c>
      <c r="J23" s="135">
        <f t="shared" si="13"/>
        <v>0</v>
      </c>
      <c r="K23" s="135">
        <f t="shared" si="13"/>
        <v>1</v>
      </c>
      <c r="L23" s="135">
        <f t="shared" si="13"/>
        <v>1</v>
      </c>
      <c r="M23" s="135">
        <f t="shared" si="13"/>
        <v>1</v>
      </c>
      <c r="N23" s="135">
        <f t="shared" si="13"/>
        <v>2</v>
      </c>
      <c r="O23" s="135">
        <f t="shared" si="13"/>
        <v>3</v>
      </c>
      <c r="P23" s="135">
        <f t="shared" si="13"/>
        <v>5</v>
      </c>
      <c r="Q23" s="92"/>
      <c r="R23" s="91">
        <f t="shared" si="3"/>
        <v>0</v>
      </c>
      <c r="S23" s="91">
        <f t="shared" si="4"/>
        <v>0</v>
      </c>
      <c r="T23" s="91">
        <f t="shared" si="5"/>
        <v>0</v>
      </c>
      <c r="U23" s="91">
        <f t="shared" si="6"/>
        <v>0</v>
      </c>
      <c r="V23" s="91">
        <f t="shared" si="7"/>
        <v>0.48158398752504833</v>
      </c>
      <c r="W23" s="91">
        <f t="shared" si="8"/>
        <v>0.29633413926341406</v>
      </c>
      <c r="X23" s="91">
        <f t="shared" si="9"/>
        <v>0.21016283977259823</v>
      </c>
      <c r="Y23" s="91">
        <f t="shared" si="10"/>
        <v>0.27320045177033819</v>
      </c>
      <c r="Z23" s="91">
        <f t="shared" si="11"/>
        <v>0.30726554648725157</v>
      </c>
      <c r="AA23" s="91">
        <f t="shared" si="12"/>
        <v>0.39839091150282396</v>
      </c>
    </row>
    <row r="24" spans="1:27" ht="21">
      <c r="A24" s="74" t="s">
        <v>404</v>
      </c>
      <c r="B24" s="74" t="s">
        <v>415</v>
      </c>
      <c r="C24" s="74">
        <v>1</v>
      </c>
      <c r="D24" s="75">
        <v>400</v>
      </c>
      <c r="E24" s="77">
        <v>33</v>
      </c>
      <c r="F24" s="77">
        <f t="shared" si="1"/>
        <v>855.2985999398212</v>
      </c>
      <c r="G24" s="135">
        <f t="shared" si="13"/>
        <v>0</v>
      </c>
      <c r="H24" s="135">
        <f t="shared" si="13"/>
        <v>0</v>
      </c>
      <c r="I24" s="135">
        <f t="shared" si="13"/>
        <v>0</v>
      </c>
      <c r="J24" s="135">
        <f t="shared" si="13"/>
        <v>0</v>
      </c>
      <c r="K24" s="135">
        <f t="shared" si="13"/>
        <v>0</v>
      </c>
      <c r="L24" s="135">
        <f t="shared" si="13"/>
        <v>1</v>
      </c>
      <c r="M24" s="135">
        <f t="shared" si="13"/>
        <v>1</v>
      </c>
      <c r="N24" s="135">
        <f t="shared" si="13"/>
        <v>1</v>
      </c>
      <c r="O24" s="135">
        <f t="shared" si="13"/>
        <v>3</v>
      </c>
      <c r="P24" s="135">
        <f t="shared" si="13"/>
        <v>4</v>
      </c>
      <c r="Q24" s="92"/>
      <c r="R24" s="91">
        <f t="shared" si="3"/>
        <v>0</v>
      </c>
      <c r="S24" s="91">
        <f t="shared" si="4"/>
        <v>0</v>
      </c>
      <c r="T24" s="91">
        <f t="shared" si="5"/>
        <v>0</v>
      </c>
      <c r="U24" s="91">
        <f t="shared" si="6"/>
        <v>0</v>
      </c>
      <c r="V24" s="91">
        <f t="shared" si="7"/>
        <v>0</v>
      </c>
      <c r="W24" s="91">
        <f t="shared" si="8"/>
        <v>0.35856430850873106</v>
      </c>
      <c r="X24" s="91">
        <f t="shared" si="9"/>
        <v>0.25429703612484389</v>
      </c>
      <c r="Y24" s="91">
        <f t="shared" si="10"/>
        <v>0.16528627332105461</v>
      </c>
      <c r="Z24" s="91">
        <f t="shared" si="11"/>
        <v>0.37179131124957437</v>
      </c>
      <c r="AA24" s="91">
        <f t="shared" si="12"/>
        <v>0.38564240233473362</v>
      </c>
    </row>
    <row r="25" spans="1:27" ht="21">
      <c r="A25" s="74" t="s">
        <v>404</v>
      </c>
      <c r="B25" s="74" t="s">
        <v>416</v>
      </c>
      <c r="C25" s="74">
        <v>1</v>
      </c>
      <c r="D25" s="75">
        <v>500</v>
      </c>
      <c r="E25" s="77">
        <v>37</v>
      </c>
      <c r="F25" s="77">
        <f t="shared" si="1"/>
        <v>1075.2100856911068</v>
      </c>
      <c r="G25" s="135">
        <f t="shared" si="13"/>
        <v>0</v>
      </c>
      <c r="H25" s="135">
        <f t="shared" si="13"/>
        <v>0</v>
      </c>
      <c r="I25" s="135">
        <f t="shared" si="13"/>
        <v>0</v>
      </c>
      <c r="J25" s="135">
        <f t="shared" si="13"/>
        <v>0</v>
      </c>
      <c r="K25" s="135">
        <f t="shared" si="13"/>
        <v>0</v>
      </c>
      <c r="L25" s="135">
        <f t="shared" si="13"/>
        <v>1</v>
      </c>
      <c r="M25" s="135">
        <f t="shared" si="13"/>
        <v>1</v>
      </c>
      <c r="N25" s="135">
        <f t="shared" si="13"/>
        <v>1</v>
      </c>
      <c r="O25" s="135">
        <f t="shared" si="13"/>
        <v>1</v>
      </c>
      <c r="P25" s="135">
        <f t="shared" si="13"/>
        <v>3</v>
      </c>
      <c r="Q25" s="92"/>
      <c r="R25" s="91">
        <f t="shared" si="3"/>
        <v>0</v>
      </c>
      <c r="S25" s="91">
        <f t="shared" si="4"/>
        <v>0</v>
      </c>
      <c r="T25" s="91">
        <f t="shared" si="5"/>
        <v>0</v>
      </c>
      <c r="U25" s="91">
        <f t="shared" si="6"/>
        <v>0</v>
      </c>
      <c r="V25" s="91">
        <f t="shared" si="7"/>
        <v>0</v>
      </c>
      <c r="W25" s="91">
        <f t="shared" si="8"/>
        <v>0.45075715183512655</v>
      </c>
      <c r="X25" s="91">
        <f t="shared" si="9"/>
        <v>0.31968103072076332</v>
      </c>
      <c r="Y25" s="91">
        <f t="shared" si="10"/>
        <v>0.20778412137421834</v>
      </c>
      <c r="Z25" s="91">
        <f t="shared" si="11"/>
        <v>0.15579501227446199</v>
      </c>
      <c r="AA25" s="91">
        <f t="shared" si="12"/>
        <v>0.36359810523157737</v>
      </c>
    </row>
    <row r="26" spans="1:27" ht="21">
      <c r="A26" s="74" t="s">
        <v>404</v>
      </c>
      <c r="B26" s="74" t="s">
        <v>417</v>
      </c>
      <c r="C26" s="74">
        <v>1</v>
      </c>
      <c r="D26" s="75">
        <v>630</v>
      </c>
      <c r="E26" s="77">
        <v>41</v>
      </c>
      <c r="F26" s="77">
        <f t="shared" si="1"/>
        <v>1320.2543126711105</v>
      </c>
      <c r="G26" s="135">
        <f t="shared" si="13"/>
        <v>0</v>
      </c>
      <c r="H26" s="135">
        <f t="shared" si="13"/>
        <v>0</v>
      </c>
      <c r="I26" s="135">
        <f t="shared" si="13"/>
        <v>0</v>
      </c>
      <c r="J26" s="135">
        <f t="shared" si="13"/>
        <v>0</v>
      </c>
      <c r="K26" s="135">
        <f t="shared" si="13"/>
        <v>0</v>
      </c>
      <c r="L26" s="135">
        <f t="shared" si="13"/>
        <v>0</v>
      </c>
      <c r="M26" s="135">
        <f t="shared" si="13"/>
        <v>1</v>
      </c>
      <c r="N26" s="135">
        <f t="shared" si="13"/>
        <v>1</v>
      </c>
      <c r="O26" s="135">
        <f t="shared" si="13"/>
        <v>1</v>
      </c>
      <c r="P26" s="135">
        <f t="shared" si="13"/>
        <v>2</v>
      </c>
      <c r="Q26" s="92"/>
      <c r="R26" s="91">
        <f t="shared" si="3"/>
        <v>0</v>
      </c>
      <c r="S26" s="91">
        <f t="shared" si="4"/>
        <v>0</v>
      </c>
      <c r="T26" s="91">
        <f t="shared" si="5"/>
        <v>0</v>
      </c>
      <c r="U26" s="91">
        <f t="shared" si="6"/>
        <v>0</v>
      </c>
      <c r="V26" s="91">
        <f t="shared" si="7"/>
        <v>0</v>
      </c>
      <c r="W26" s="91">
        <f t="shared" si="8"/>
        <v>0</v>
      </c>
      <c r="X26" s="91">
        <f t="shared" si="9"/>
        <v>0.39253748184193066</v>
      </c>
      <c r="Y26" s="91">
        <f t="shared" si="10"/>
        <v>0.25513886634774358</v>
      </c>
      <c r="Z26" s="91">
        <f t="shared" si="11"/>
        <v>0.19130125320187771</v>
      </c>
      <c r="AA26" s="91">
        <f t="shared" si="12"/>
        <v>0.29764227654944314</v>
      </c>
    </row>
    <row r="27" spans="1:27" ht="21">
      <c r="A27" s="74" t="s">
        <v>404</v>
      </c>
      <c r="B27" s="74" t="s">
        <v>418</v>
      </c>
      <c r="C27" s="74">
        <v>2</v>
      </c>
      <c r="D27" s="75">
        <v>10</v>
      </c>
      <c r="E27" s="77">
        <v>16</v>
      </c>
      <c r="F27" s="77">
        <f t="shared" si="1"/>
        <v>201.06192982974676</v>
      </c>
      <c r="G27" s="135">
        <f t="shared" si="13"/>
        <v>0</v>
      </c>
      <c r="H27" s="135">
        <f t="shared" si="13"/>
        <v>1</v>
      </c>
      <c r="I27" s="135">
        <f t="shared" si="13"/>
        <v>1</v>
      </c>
      <c r="J27" s="135">
        <f t="shared" si="13"/>
        <v>1</v>
      </c>
      <c r="K27" s="135">
        <f t="shared" si="13"/>
        <v>2</v>
      </c>
      <c r="L27" s="135">
        <f t="shared" si="13"/>
        <v>4</v>
      </c>
      <c r="M27" s="135">
        <f t="shared" si="13"/>
        <v>6</v>
      </c>
      <c r="N27" s="135">
        <f t="shared" si="13"/>
        <v>10</v>
      </c>
      <c r="O27" s="135">
        <f t="shared" si="13"/>
        <v>13</v>
      </c>
      <c r="P27" s="135">
        <f t="shared" si="13"/>
        <v>17</v>
      </c>
      <c r="Q27" s="92"/>
      <c r="R27" s="91">
        <f t="shared" si="3"/>
        <v>0</v>
      </c>
      <c r="S27" s="91">
        <f t="shared" si="4"/>
        <v>0.51294833888893787</v>
      </c>
      <c r="T27" s="91">
        <f t="shared" si="5"/>
        <v>0.31628269000898807</v>
      </c>
      <c r="U27" s="91">
        <f t="shared" si="6"/>
        <v>0.18429823658983754</v>
      </c>
      <c r="V27" s="91">
        <f t="shared" si="7"/>
        <v>0.27396777956980528</v>
      </c>
      <c r="W27" s="91">
        <f t="shared" si="8"/>
        <v>0.3371623984508178</v>
      </c>
      <c r="X27" s="91">
        <f t="shared" si="9"/>
        <v>0.35867791321190101</v>
      </c>
      <c r="Y27" s="91">
        <f t="shared" si="10"/>
        <v>0.38855175362892541</v>
      </c>
      <c r="Z27" s="91">
        <f t="shared" si="11"/>
        <v>0.37873323655910118</v>
      </c>
      <c r="AA27" s="91">
        <f t="shared" si="12"/>
        <v>0.38528827708006447</v>
      </c>
    </row>
    <row r="28" spans="1:27" ht="21">
      <c r="A28" s="74" t="s">
        <v>404</v>
      </c>
      <c r="B28" s="74" t="s">
        <v>419</v>
      </c>
      <c r="C28" s="74">
        <v>2</v>
      </c>
      <c r="D28" s="75">
        <v>16</v>
      </c>
      <c r="E28" s="77">
        <v>18</v>
      </c>
      <c r="F28" s="77">
        <f t="shared" si="1"/>
        <v>254.46900494077323</v>
      </c>
      <c r="G28" s="135">
        <f t="shared" si="13"/>
        <v>0</v>
      </c>
      <c r="H28" s="135">
        <f t="shared" si="13"/>
        <v>0</v>
      </c>
      <c r="I28" s="135">
        <f t="shared" si="13"/>
        <v>1</v>
      </c>
      <c r="J28" s="135">
        <f t="shared" si="13"/>
        <v>1</v>
      </c>
      <c r="K28" s="135">
        <f t="shared" si="13"/>
        <v>1</v>
      </c>
      <c r="L28" s="135">
        <f t="shared" si="13"/>
        <v>3</v>
      </c>
      <c r="M28" s="135">
        <f t="shared" si="13"/>
        <v>5</v>
      </c>
      <c r="N28" s="135">
        <f t="shared" si="13"/>
        <v>8</v>
      </c>
      <c r="O28" s="135">
        <f t="shared" si="13"/>
        <v>10</v>
      </c>
      <c r="P28" s="135">
        <f t="shared" si="13"/>
        <v>13</v>
      </c>
      <c r="Q28" s="92"/>
      <c r="R28" s="91">
        <f t="shared" si="3"/>
        <v>0</v>
      </c>
      <c r="S28" s="91">
        <f t="shared" si="4"/>
        <v>0</v>
      </c>
      <c r="T28" s="91">
        <f t="shared" si="5"/>
        <v>0.4002952795426255</v>
      </c>
      <c r="U28" s="91">
        <f t="shared" si="6"/>
        <v>0.23325245568401312</v>
      </c>
      <c r="V28" s="91">
        <f t="shared" si="7"/>
        <v>0.1733702355090174</v>
      </c>
      <c r="W28" s="91">
        <f t="shared" si="8"/>
        <v>0.3200408704044872</v>
      </c>
      <c r="X28" s="91">
        <f t="shared" si="9"/>
        <v>0.3782931115906768</v>
      </c>
      <c r="Y28" s="91">
        <f t="shared" si="10"/>
        <v>0.39340865054928698</v>
      </c>
      <c r="Z28" s="91">
        <f t="shared" si="11"/>
        <v>0.36871865578470181</v>
      </c>
      <c r="AA28" s="91">
        <f t="shared" si="12"/>
        <v>0.37289389316664323</v>
      </c>
    </row>
    <row r="29" spans="1:27" ht="21">
      <c r="A29" s="74" t="s">
        <v>404</v>
      </c>
      <c r="B29" s="74" t="s">
        <v>420</v>
      </c>
      <c r="C29" s="74">
        <v>2</v>
      </c>
      <c r="D29" s="75">
        <v>25</v>
      </c>
      <c r="E29" s="77">
        <v>21</v>
      </c>
      <c r="F29" s="77">
        <f t="shared" si="1"/>
        <v>346.36059005827468</v>
      </c>
      <c r="G29" s="135">
        <f t="shared" si="13"/>
        <v>0</v>
      </c>
      <c r="H29" s="135">
        <f t="shared" si="13"/>
        <v>0</v>
      </c>
      <c r="I29" s="135">
        <f t="shared" si="13"/>
        <v>0</v>
      </c>
      <c r="J29" s="135">
        <f t="shared" si="13"/>
        <v>1</v>
      </c>
      <c r="K29" s="135">
        <f t="shared" si="13"/>
        <v>1</v>
      </c>
      <c r="L29" s="135">
        <f t="shared" si="13"/>
        <v>2</v>
      </c>
      <c r="M29" s="135">
        <f t="shared" si="13"/>
        <v>3</v>
      </c>
      <c r="N29" s="135">
        <f t="shared" si="13"/>
        <v>5</v>
      </c>
      <c r="O29" s="135">
        <f t="shared" si="13"/>
        <v>7</v>
      </c>
      <c r="P29" s="135">
        <f t="shared" si="13"/>
        <v>10</v>
      </c>
      <c r="Q29" s="92"/>
      <c r="R29" s="91">
        <f t="shared" si="3"/>
        <v>0</v>
      </c>
      <c r="S29" s="91">
        <f t="shared" si="4"/>
        <v>0</v>
      </c>
      <c r="T29" s="91">
        <f t="shared" si="5"/>
        <v>0</v>
      </c>
      <c r="U29" s="91">
        <f t="shared" si="6"/>
        <v>0.31748250912546233</v>
      </c>
      <c r="V29" s="91">
        <f t="shared" si="7"/>
        <v>0.23597615388727367</v>
      </c>
      <c r="W29" s="91">
        <f t="shared" si="8"/>
        <v>0.29040745647814581</v>
      </c>
      <c r="X29" s="91">
        <f t="shared" si="9"/>
        <v>0.3089393744657194</v>
      </c>
      <c r="Y29" s="91">
        <f t="shared" si="10"/>
        <v>0.33467055341866425</v>
      </c>
      <c r="Z29" s="91">
        <f t="shared" si="11"/>
        <v>0.35130694148375757</v>
      </c>
      <c r="AA29" s="91">
        <f t="shared" si="12"/>
        <v>0.39042309327276747</v>
      </c>
    </row>
    <row r="30" spans="1:27" ht="21">
      <c r="A30" s="74" t="s">
        <v>404</v>
      </c>
      <c r="B30" s="74" t="s">
        <v>421</v>
      </c>
      <c r="C30" s="74">
        <v>2</v>
      </c>
      <c r="D30" s="75">
        <v>35</v>
      </c>
      <c r="E30" s="77">
        <v>23</v>
      </c>
      <c r="F30" s="77">
        <f t="shared" si="1"/>
        <v>415.47562843725012</v>
      </c>
      <c r="G30" s="135">
        <f t="shared" ref="G30:P39" si="14">IF(INT(0.4*G$7/$F30)&gt;=3,INT(0.4*G$7/$F30),IF(INT(0.31*G$7/$F30)&gt;=2,2,IF(0.53*G$7/$F30&gt;=1,1,0)))</f>
        <v>0</v>
      </c>
      <c r="H30" s="135">
        <f t="shared" si="14"/>
        <v>0</v>
      </c>
      <c r="I30" s="135">
        <f t="shared" si="14"/>
        <v>0</v>
      </c>
      <c r="J30" s="135">
        <f t="shared" si="14"/>
        <v>1</v>
      </c>
      <c r="K30" s="135">
        <f t="shared" si="14"/>
        <v>1</v>
      </c>
      <c r="L30" s="135">
        <f t="shared" si="14"/>
        <v>1</v>
      </c>
      <c r="M30" s="135">
        <f t="shared" si="14"/>
        <v>3</v>
      </c>
      <c r="N30" s="135">
        <f t="shared" si="14"/>
        <v>4</v>
      </c>
      <c r="O30" s="135">
        <f t="shared" si="14"/>
        <v>6</v>
      </c>
      <c r="P30" s="135">
        <f t="shared" si="14"/>
        <v>8</v>
      </c>
      <c r="Q30" s="92"/>
      <c r="R30" s="91">
        <f t="shared" si="3"/>
        <v>0</v>
      </c>
      <c r="S30" s="91">
        <f t="shared" si="4"/>
        <v>0</v>
      </c>
      <c r="T30" s="91">
        <f t="shared" si="5"/>
        <v>0</v>
      </c>
      <c r="U30" s="91">
        <f t="shared" si="6"/>
        <v>0.380835027953219</v>
      </c>
      <c r="V30" s="91">
        <f t="shared" si="7"/>
        <v>0.28306436600083396</v>
      </c>
      <c r="W30" s="91">
        <f t="shared" si="8"/>
        <v>0.17417862185594005</v>
      </c>
      <c r="X30" s="91">
        <f t="shared" si="9"/>
        <v>0.37058714079901484</v>
      </c>
      <c r="Y30" s="91">
        <f t="shared" si="10"/>
        <v>0.32116230885890867</v>
      </c>
      <c r="Z30" s="91">
        <f t="shared" si="11"/>
        <v>0.36120772020390235</v>
      </c>
      <c r="AA30" s="91">
        <f t="shared" si="12"/>
        <v>0.37466451943998913</v>
      </c>
    </row>
    <row r="31" spans="1:27" ht="21">
      <c r="A31" s="74" t="s">
        <v>404</v>
      </c>
      <c r="B31" s="74" t="s">
        <v>422</v>
      </c>
      <c r="C31" s="74">
        <v>2</v>
      </c>
      <c r="D31" s="75">
        <v>50</v>
      </c>
      <c r="E31" s="77">
        <v>25</v>
      </c>
      <c r="F31" s="77">
        <f t="shared" si="1"/>
        <v>490.87385212340519</v>
      </c>
      <c r="G31" s="135">
        <f t="shared" si="14"/>
        <v>0</v>
      </c>
      <c r="H31" s="135">
        <f t="shared" si="14"/>
        <v>0</v>
      </c>
      <c r="I31" s="135">
        <f t="shared" si="14"/>
        <v>0</v>
      </c>
      <c r="J31" s="135">
        <f t="shared" si="14"/>
        <v>1</v>
      </c>
      <c r="K31" s="135">
        <f t="shared" si="14"/>
        <v>1</v>
      </c>
      <c r="L31" s="135">
        <f t="shared" si="14"/>
        <v>1</v>
      </c>
      <c r="M31" s="135">
        <f t="shared" si="14"/>
        <v>2</v>
      </c>
      <c r="N31" s="135">
        <f t="shared" si="14"/>
        <v>4</v>
      </c>
      <c r="O31" s="135">
        <f t="shared" si="14"/>
        <v>5</v>
      </c>
      <c r="P31" s="135">
        <f t="shared" si="14"/>
        <v>7</v>
      </c>
      <c r="Q31" s="92"/>
      <c r="R31" s="91">
        <f t="shared" si="3"/>
        <v>0</v>
      </c>
      <c r="S31" s="91">
        <f t="shared" si="4"/>
        <v>0</v>
      </c>
      <c r="T31" s="91">
        <f t="shared" si="5"/>
        <v>0</v>
      </c>
      <c r="U31" s="91">
        <f t="shared" si="6"/>
        <v>0.44994686667440809</v>
      </c>
      <c r="V31" s="91">
        <f t="shared" si="7"/>
        <v>0.33443332467017245</v>
      </c>
      <c r="W31" s="91">
        <f t="shared" si="8"/>
        <v>0.20578759671070423</v>
      </c>
      <c r="X31" s="91">
        <f t="shared" si="9"/>
        <v>0.29189283301749758</v>
      </c>
      <c r="Y31" s="91">
        <f t="shared" si="10"/>
        <v>0.3794450719032475</v>
      </c>
      <c r="Z31" s="91">
        <f t="shared" si="11"/>
        <v>0.35563141954543009</v>
      </c>
      <c r="AA31" s="91">
        <f t="shared" si="12"/>
        <v>0.38732449729441215</v>
      </c>
    </row>
    <row r="32" spans="1:27" ht="21">
      <c r="A32" s="74" t="s">
        <v>404</v>
      </c>
      <c r="B32" s="74" t="s">
        <v>423</v>
      </c>
      <c r="C32" s="74">
        <v>2</v>
      </c>
      <c r="D32" s="75">
        <v>70</v>
      </c>
      <c r="E32" s="77">
        <v>30</v>
      </c>
      <c r="F32" s="77">
        <f t="shared" si="1"/>
        <v>706.85834705770344</v>
      </c>
      <c r="G32" s="135">
        <f t="shared" si="14"/>
        <v>0</v>
      </c>
      <c r="H32" s="135">
        <f t="shared" si="14"/>
        <v>0</v>
      </c>
      <c r="I32" s="135">
        <f t="shared" si="14"/>
        <v>0</v>
      </c>
      <c r="J32" s="135">
        <f t="shared" si="14"/>
        <v>0</v>
      </c>
      <c r="K32" s="135">
        <f t="shared" si="14"/>
        <v>1</v>
      </c>
      <c r="L32" s="135">
        <f t="shared" si="14"/>
        <v>1</v>
      </c>
      <c r="M32" s="135">
        <f t="shared" si="14"/>
        <v>1</v>
      </c>
      <c r="N32" s="135">
        <f t="shared" si="14"/>
        <v>2</v>
      </c>
      <c r="O32" s="135">
        <f t="shared" si="14"/>
        <v>3</v>
      </c>
      <c r="P32" s="135">
        <f t="shared" si="14"/>
        <v>5</v>
      </c>
      <c r="Q32" s="92"/>
      <c r="R32" s="91">
        <f t="shared" si="3"/>
        <v>0</v>
      </c>
      <c r="S32" s="91">
        <f t="shared" si="4"/>
        <v>0</v>
      </c>
      <c r="T32" s="91">
        <f t="shared" si="5"/>
        <v>0</v>
      </c>
      <c r="U32" s="91">
        <f t="shared" si="6"/>
        <v>0</v>
      </c>
      <c r="V32" s="91">
        <f t="shared" si="7"/>
        <v>0.48158398752504833</v>
      </c>
      <c r="W32" s="91">
        <f t="shared" si="8"/>
        <v>0.29633413926341406</v>
      </c>
      <c r="X32" s="91">
        <f t="shared" si="9"/>
        <v>0.21016283977259823</v>
      </c>
      <c r="Y32" s="91">
        <f t="shared" si="10"/>
        <v>0.27320045177033819</v>
      </c>
      <c r="Z32" s="91">
        <f t="shared" si="11"/>
        <v>0.30726554648725157</v>
      </c>
      <c r="AA32" s="91">
        <f t="shared" si="12"/>
        <v>0.39839091150282396</v>
      </c>
    </row>
    <row r="33" spans="1:27" ht="21">
      <c r="A33" s="74" t="s">
        <v>404</v>
      </c>
      <c r="B33" s="74" t="s">
        <v>424</v>
      </c>
      <c r="C33" s="74">
        <v>2</v>
      </c>
      <c r="D33" s="75">
        <v>95</v>
      </c>
      <c r="E33" s="77">
        <v>33</v>
      </c>
      <c r="F33" s="77">
        <f t="shared" si="1"/>
        <v>855.2985999398212</v>
      </c>
      <c r="G33" s="135">
        <f t="shared" si="14"/>
        <v>0</v>
      </c>
      <c r="H33" s="135">
        <f t="shared" si="14"/>
        <v>0</v>
      </c>
      <c r="I33" s="135">
        <f t="shared" si="14"/>
        <v>0</v>
      </c>
      <c r="J33" s="135">
        <f t="shared" si="14"/>
        <v>0</v>
      </c>
      <c r="K33" s="135">
        <f t="shared" si="14"/>
        <v>0</v>
      </c>
      <c r="L33" s="135">
        <f t="shared" si="14"/>
        <v>1</v>
      </c>
      <c r="M33" s="135">
        <f t="shared" si="14"/>
        <v>1</v>
      </c>
      <c r="N33" s="135">
        <f t="shared" si="14"/>
        <v>1</v>
      </c>
      <c r="O33" s="135">
        <f t="shared" si="14"/>
        <v>3</v>
      </c>
      <c r="P33" s="135">
        <f t="shared" si="14"/>
        <v>4</v>
      </c>
      <c r="Q33" s="92"/>
      <c r="R33" s="91">
        <f t="shared" si="3"/>
        <v>0</v>
      </c>
      <c r="S33" s="91">
        <f t="shared" si="4"/>
        <v>0</v>
      </c>
      <c r="T33" s="91">
        <f t="shared" si="5"/>
        <v>0</v>
      </c>
      <c r="U33" s="91">
        <f t="shared" si="6"/>
        <v>0</v>
      </c>
      <c r="V33" s="91">
        <f t="shared" si="7"/>
        <v>0</v>
      </c>
      <c r="W33" s="91">
        <f t="shared" si="8"/>
        <v>0.35856430850873106</v>
      </c>
      <c r="X33" s="91">
        <f t="shared" si="9"/>
        <v>0.25429703612484389</v>
      </c>
      <c r="Y33" s="91">
        <f t="shared" si="10"/>
        <v>0.16528627332105461</v>
      </c>
      <c r="Z33" s="91">
        <f t="shared" si="11"/>
        <v>0.37179131124957437</v>
      </c>
      <c r="AA33" s="91">
        <f t="shared" si="12"/>
        <v>0.38564240233473362</v>
      </c>
    </row>
    <row r="34" spans="1:27" ht="21">
      <c r="A34" s="74" t="s">
        <v>404</v>
      </c>
      <c r="B34" s="74" t="s">
        <v>425</v>
      </c>
      <c r="C34" s="74">
        <v>2</v>
      </c>
      <c r="D34" s="75">
        <v>120</v>
      </c>
      <c r="E34" s="77">
        <v>37</v>
      </c>
      <c r="F34" s="77">
        <f t="shared" si="1"/>
        <v>1075.2100856911068</v>
      </c>
      <c r="G34" s="135">
        <f t="shared" si="14"/>
        <v>0</v>
      </c>
      <c r="H34" s="135">
        <f t="shared" si="14"/>
        <v>0</v>
      </c>
      <c r="I34" s="135">
        <f t="shared" si="14"/>
        <v>0</v>
      </c>
      <c r="J34" s="135">
        <f t="shared" si="14"/>
        <v>0</v>
      </c>
      <c r="K34" s="135">
        <f t="shared" si="14"/>
        <v>0</v>
      </c>
      <c r="L34" s="135">
        <f t="shared" si="14"/>
        <v>1</v>
      </c>
      <c r="M34" s="135">
        <f t="shared" si="14"/>
        <v>1</v>
      </c>
      <c r="N34" s="135">
        <f t="shared" si="14"/>
        <v>1</v>
      </c>
      <c r="O34" s="135">
        <f t="shared" si="14"/>
        <v>1</v>
      </c>
      <c r="P34" s="135">
        <f t="shared" si="14"/>
        <v>3</v>
      </c>
      <c r="Q34" s="92"/>
      <c r="R34" s="91">
        <f t="shared" si="3"/>
        <v>0</v>
      </c>
      <c r="S34" s="91">
        <f t="shared" si="4"/>
        <v>0</v>
      </c>
      <c r="T34" s="91">
        <f t="shared" si="5"/>
        <v>0</v>
      </c>
      <c r="U34" s="91">
        <f t="shared" si="6"/>
        <v>0</v>
      </c>
      <c r="V34" s="91">
        <f t="shared" si="7"/>
        <v>0</v>
      </c>
      <c r="W34" s="91">
        <f t="shared" si="8"/>
        <v>0.45075715183512655</v>
      </c>
      <c r="X34" s="91">
        <f t="shared" si="9"/>
        <v>0.31968103072076332</v>
      </c>
      <c r="Y34" s="91">
        <f t="shared" si="10"/>
        <v>0.20778412137421834</v>
      </c>
      <c r="Z34" s="91">
        <f t="shared" si="11"/>
        <v>0.15579501227446199</v>
      </c>
      <c r="AA34" s="91">
        <f t="shared" si="12"/>
        <v>0.36359810523157737</v>
      </c>
    </row>
    <row r="35" spans="1:27" ht="21">
      <c r="A35" s="74" t="s">
        <v>404</v>
      </c>
      <c r="B35" s="74" t="s">
        <v>426</v>
      </c>
      <c r="C35" s="74">
        <v>2</v>
      </c>
      <c r="D35" s="75">
        <v>150</v>
      </c>
      <c r="E35" s="77">
        <v>41</v>
      </c>
      <c r="F35" s="77">
        <f t="shared" si="1"/>
        <v>1320.2543126711105</v>
      </c>
      <c r="G35" s="135">
        <f t="shared" si="14"/>
        <v>0</v>
      </c>
      <c r="H35" s="135">
        <f t="shared" si="14"/>
        <v>0</v>
      </c>
      <c r="I35" s="135">
        <f t="shared" si="14"/>
        <v>0</v>
      </c>
      <c r="J35" s="135">
        <f t="shared" si="14"/>
        <v>0</v>
      </c>
      <c r="K35" s="135">
        <f t="shared" si="14"/>
        <v>0</v>
      </c>
      <c r="L35" s="135">
        <f t="shared" si="14"/>
        <v>0</v>
      </c>
      <c r="M35" s="135">
        <f t="shared" si="14"/>
        <v>1</v>
      </c>
      <c r="N35" s="135">
        <f t="shared" si="14"/>
        <v>1</v>
      </c>
      <c r="O35" s="135">
        <f t="shared" si="14"/>
        <v>1</v>
      </c>
      <c r="P35" s="135">
        <f t="shared" si="14"/>
        <v>2</v>
      </c>
      <c r="Q35" s="92"/>
      <c r="R35" s="91">
        <f t="shared" si="3"/>
        <v>0</v>
      </c>
      <c r="S35" s="91">
        <f t="shared" si="4"/>
        <v>0</v>
      </c>
      <c r="T35" s="91">
        <f t="shared" si="5"/>
        <v>0</v>
      </c>
      <c r="U35" s="91">
        <f t="shared" si="6"/>
        <v>0</v>
      </c>
      <c r="V35" s="91">
        <f t="shared" si="7"/>
        <v>0</v>
      </c>
      <c r="W35" s="91">
        <f t="shared" si="8"/>
        <v>0</v>
      </c>
      <c r="X35" s="91">
        <f t="shared" si="9"/>
        <v>0.39253748184193066</v>
      </c>
      <c r="Y35" s="91">
        <f t="shared" si="10"/>
        <v>0.25513886634774358</v>
      </c>
      <c r="Z35" s="91">
        <f t="shared" si="11"/>
        <v>0.19130125320187771</v>
      </c>
      <c r="AA35" s="91">
        <f t="shared" si="12"/>
        <v>0.29764227654944314</v>
      </c>
    </row>
    <row r="36" spans="1:27" ht="21">
      <c r="A36" s="74" t="s">
        <v>404</v>
      </c>
      <c r="B36" s="74" t="s">
        <v>427</v>
      </c>
      <c r="C36" s="74">
        <v>2</v>
      </c>
      <c r="D36" s="75">
        <v>185</v>
      </c>
      <c r="E36" s="77">
        <v>45</v>
      </c>
      <c r="F36" s="77">
        <f t="shared" si="1"/>
        <v>1590.4312808798327</v>
      </c>
      <c r="G36" s="135">
        <f t="shared" si="14"/>
        <v>0</v>
      </c>
      <c r="H36" s="135">
        <f t="shared" si="14"/>
        <v>0</v>
      </c>
      <c r="I36" s="135">
        <f t="shared" si="14"/>
        <v>0</v>
      </c>
      <c r="J36" s="135">
        <f t="shared" si="14"/>
        <v>0</v>
      </c>
      <c r="K36" s="135">
        <f t="shared" si="14"/>
        <v>0</v>
      </c>
      <c r="L36" s="135">
        <f t="shared" si="14"/>
        <v>0</v>
      </c>
      <c r="M36" s="135">
        <f t="shared" si="14"/>
        <v>1</v>
      </c>
      <c r="N36" s="135">
        <f t="shared" si="14"/>
        <v>1</v>
      </c>
      <c r="O36" s="135">
        <f t="shared" si="14"/>
        <v>1</v>
      </c>
      <c r="P36" s="135">
        <f t="shared" si="14"/>
        <v>1</v>
      </c>
      <c r="Q36" s="92"/>
      <c r="R36" s="91">
        <f t="shared" si="3"/>
        <v>0</v>
      </c>
      <c r="S36" s="91">
        <f t="shared" si="4"/>
        <v>0</v>
      </c>
      <c r="T36" s="91">
        <f t="shared" si="5"/>
        <v>0</v>
      </c>
      <c r="U36" s="91">
        <f t="shared" si="6"/>
        <v>0</v>
      </c>
      <c r="V36" s="91">
        <f t="shared" si="7"/>
        <v>0</v>
      </c>
      <c r="W36" s="91">
        <f t="shared" si="8"/>
        <v>0</v>
      </c>
      <c r="X36" s="91">
        <f t="shared" si="9"/>
        <v>0.47286638948834603</v>
      </c>
      <c r="Y36" s="91">
        <f t="shared" si="10"/>
        <v>0.30735050824163046</v>
      </c>
      <c r="Z36" s="91">
        <f t="shared" si="11"/>
        <v>0.23044915986543865</v>
      </c>
      <c r="AA36" s="91">
        <f t="shared" si="12"/>
        <v>0.17927591017627079</v>
      </c>
    </row>
    <row r="37" spans="1:27" ht="21">
      <c r="A37" s="74" t="s">
        <v>404</v>
      </c>
      <c r="B37" s="74" t="s">
        <v>428</v>
      </c>
      <c r="C37" s="74">
        <v>2</v>
      </c>
      <c r="D37" s="75">
        <v>240</v>
      </c>
      <c r="E37" s="77">
        <v>51</v>
      </c>
      <c r="F37" s="77">
        <f t="shared" si="1"/>
        <v>2042.8206229967629</v>
      </c>
      <c r="G37" s="135">
        <f t="shared" si="14"/>
        <v>0</v>
      </c>
      <c r="H37" s="135">
        <f t="shared" si="14"/>
        <v>0</v>
      </c>
      <c r="I37" s="135">
        <f t="shared" si="14"/>
        <v>0</v>
      </c>
      <c r="J37" s="135">
        <f t="shared" si="14"/>
        <v>0</v>
      </c>
      <c r="K37" s="135">
        <f t="shared" si="14"/>
        <v>0</v>
      </c>
      <c r="L37" s="135">
        <f t="shared" si="14"/>
        <v>0</v>
      </c>
      <c r="M37" s="135">
        <f t="shared" si="14"/>
        <v>0</v>
      </c>
      <c r="N37" s="135">
        <f t="shared" si="14"/>
        <v>1</v>
      </c>
      <c r="O37" s="135">
        <f t="shared" si="14"/>
        <v>1</v>
      </c>
      <c r="P37" s="135">
        <f t="shared" si="14"/>
        <v>1</v>
      </c>
      <c r="Q37" s="92"/>
      <c r="R37" s="91">
        <f t="shared" si="3"/>
        <v>0</v>
      </c>
      <c r="S37" s="91">
        <f t="shared" si="4"/>
        <v>0</v>
      </c>
      <c r="T37" s="91">
        <f t="shared" si="5"/>
        <v>0</v>
      </c>
      <c r="U37" s="91">
        <f t="shared" si="6"/>
        <v>0</v>
      </c>
      <c r="V37" s="91">
        <f t="shared" si="7"/>
        <v>0</v>
      </c>
      <c r="W37" s="91">
        <f t="shared" si="8"/>
        <v>0</v>
      </c>
      <c r="X37" s="91">
        <f t="shared" si="9"/>
        <v>0</v>
      </c>
      <c r="Y37" s="91">
        <f t="shared" si="10"/>
        <v>0.39477465280813867</v>
      </c>
      <c r="Z37" s="91">
        <f t="shared" si="11"/>
        <v>0.2959991431160523</v>
      </c>
      <c r="AA37" s="91">
        <f t="shared" si="12"/>
        <v>0.23026994684863225</v>
      </c>
    </row>
    <row r="38" spans="1:27" ht="21">
      <c r="A38" s="74" t="s">
        <v>404</v>
      </c>
      <c r="B38" s="74" t="s">
        <v>429</v>
      </c>
      <c r="C38" s="74">
        <v>2</v>
      </c>
      <c r="D38" s="75">
        <v>300</v>
      </c>
      <c r="E38" s="77">
        <v>55</v>
      </c>
      <c r="F38" s="77">
        <f t="shared" si="1"/>
        <v>2375.8294442772813</v>
      </c>
      <c r="G38" s="135">
        <f t="shared" si="14"/>
        <v>0</v>
      </c>
      <c r="H38" s="135">
        <f t="shared" si="14"/>
        <v>0</v>
      </c>
      <c r="I38" s="135">
        <f t="shared" si="14"/>
        <v>0</v>
      </c>
      <c r="J38" s="135">
        <f t="shared" si="14"/>
        <v>0</v>
      </c>
      <c r="K38" s="135">
        <f t="shared" si="14"/>
        <v>0</v>
      </c>
      <c r="L38" s="135">
        <f t="shared" si="14"/>
        <v>0</v>
      </c>
      <c r="M38" s="135">
        <f t="shared" si="14"/>
        <v>0</v>
      </c>
      <c r="N38" s="135">
        <f t="shared" si="14"/>
        <v>1</v>
      </c>
      <c r="O38" s="135">
        <f t="shared" si="14"/>
        <v>1</v>
      </c>
      <c r="P38" s="135">
        <f t="shared" si="14"/>
        <v>1</v>
      </c>
      <c r="Q38" s="92"/>
      <c r="R38" s="91">
        <f t="shared" si="3"/>
        <v>0</v>
      </c>
      <c r="S38" s="91">
        <f t="shared" si="4"/>
        <v>0</v>
      </c>
      <c r="T38" s="91">
        <f t="shared" si="5"/>
        <v>0</v>
      </c>
      <c r="U38" s="91">
        <f t="shared" si="6"/>
        <v>0</v>
      </c>
      <c r="V38" s="91">
        <f t="shared" si="7"/>
        <v>0</v>
      </c>
      <c r="W38" s="91">
        <f t="shared" si="8"/>
        <v>0</v>
      </c>
      <c r="X38" s="91">
        <f t="shared" si="9"/>
        <v>0</v>
      </c>
      <c r="Y38" s="91">
        <f t="shared" si="10"/>
        <v>0.45912853700292949</v>
      </c>
      <c r="Z38" s="91">
        <f t="shared" si="11"/>
        <v>0.34425121411997628</v>
      </c>
      <c r="AA38" s="91">
        <f t="shared" si="12"/>
        <v>0.26780722384356503</v>
      </c>
    </row>
    <row r="39" spans="1:27" ht="21">
      <c r="A39" s="74" t="s">
        <v>404</v>
      </c>
      <c r="B39" s="74" t="s">
        <v>430</v>
      </c>
      <c r="C39" s="74">
        <v>2</v>
      </c>
      <c r="D39" s="75">
        <v>400</v>
      </c>
      <c r="E39" s="77">
        <v>62</v>
      </c>
      <c r="F39" s="77">
        <f t="shared" si="1"/>
        <v>3019.0705400997913</v>
      </c>
      <c r="G39" s="135">
        <f t="shared" si="14"/>
        <v>0</v>
      </c>
      <c r="H39" s="135">
        <f t="shared" si="14"/>
        <v>0</v>
      </c>
      <c r="I39" s="135">
        <f t="shared" si="14"/>
        <v>0</v>
      </c>
      <c r="J39" s="135">
        <f t="shared" si="14"/>
        <v>0</v>
      </c>
      <c r="K39" s="135">
        <f t="shared" si="14"/>
        <v>0</v>
      </c>
      <c r="L39" s="135">
        <f t="shared" si="14"/>
        <v>0</v>
      </c>
      <c r="M39" s="135">
        <f t="shared" si="14"/>
        <v>0</v>
      </c>
      <c r="N39" s="135">
        <f t="shared" si="14"/>
        <v>0</v>
      </c>
      <c r="O39" s="135">
        <f t="shared" si="14"/>
        <v>1</v>
      </c>
      <c r="P39" s="135">
        <f t="shared" si="14"/>
        <v>1</v>
      </c>
      <c r="Q39" s="92"/>
      <c r="R39" s="91">
        <f t="shared" si="3"/>
        <v>0</v>
      </c>
      <c r="S39" s="91">
        <f t="shared" si="4"/>
        <v>0</v>
      </c>
      <c r="T39" s="91">
        <f t="shared" si="5"/>
        <v>0</v>
      </c>
      <c r="U39" s="91">
        <f t="shared" si="6"/>
        <v>0</v>
      </c>
      <c r="V39" s="91">
        <f t="shared" si="7"/>
        <v>0</v>
      </c>
      <c r="W39" s="91">
        <f t="shared" si="8"/>
        <v>0</v>
      </c>
      <c r="X39" s="91">
        <f t="shared" si="9"/>
        <v>0</v>
      </c>
      <c r="Y39" s="91">
        <f t="shared" si="10"/>
        <v>0</v>
      </c>
      <c r="Z39" s="91">
        <f t="shared" si="11"/>
        <v>0.43745509655444259</v>
      </c>
      <c r="AA39" s="91">
        <f t="shared" si="12"/>
        <v>0.34031436973707896</v>
      </c>
    </row>
    <row r="40" spans="1:27" ht="21">
      <c r="A40" s="74" t="s">
        <v>404</v>
      </c>
      <c r="B40" s="74" t="s">
        <v>431</v>
      </c>
      <c r="C40" s="74">
        <v>3</v>
      </c>
      <c r="D40" s="75">
        <v>10</v>
      </c>
      <c r="E40" s="77">
        <v>16</v>
      </c>
      <c r="F40" s="77">
        <f t="shared" si="1"/>
        <v>201.06192982974676</v>
      </c>
      <c r="G40" s="135">
        <f t="shared" ref="G40:P49" si="15">IF(INT(0.4*G$7/$F40)&gt;=3,INT(0.4*G$7/$F40),IF(INT(0.31*G$7/$F40)&gt;=2,2,IF(0.53*G$7/$F40&gt;=1,1,0)))</f>
        <v>0</v>
      </c>
      <c r="H40" s="135">
        <f t="shared" si="15"/>
        <v>1</v>
      </c>
      <c r="I40" s="135">
        <f t="shared" si="15"/>
        <v>1</v>
      </c>
      <c r="J40" s="135">
        <f t="shared" si="15"/>
        <v>1</v>
      </c>
      <c r="K40" s="135">
        <f t="shared" si="15"/>
        <v>2</v>
      </c>
      <c r="L40" s="135">
        <f t="shared" si="15"/>
        <v>4</v>
      </c>
      <c r="M40" s="135">
        <f t="shared" si="15"/>
        <v>6</v>
      </c>
      <c r="N40" s="135">
        <f t="shared" si="15"/>
        <v>10</v>
      </c>
      <c r="O40" s="135">
        <f t="shared" si="15"/>
        <v>13</v>
      </c>
      <c r="P40" s="135">
        <f t="shared" si="15"/>
        <v>17</v>
      </c>
      <c r="Q40" s="92"/>
      <c r="R40" s="91">
        <f t="shared" si="3"/>
        <v>0</v>
      </c>
      <c r="S40" s="91">
        <f t="shared" si="4"/>
        <v>0.51294833888893787</v>
      </c>
      <c r="T40" s="91">
        <f t="shared" si="5"/>
        <v>0.31628269000898807</v>
      </c>
      <c r="U40" s="91">
        <f t="shared" si="6"/>
        <v>0.18429823658983754</v>
      </c>
      <c r="V40" s="91">
        <f t="shared" si="7"/>
        <v>0.27396777956980528</v>
      </c>
      <c r="W40" s="91">
        <f t="shared" si="8"/>
        <v>0.3371623984508178</v>
      </c>
      <c r="X40" s="91">
        <f t="shared" si="9"/>
        <v>0.35867791321190101</v>
      </c>
      <c r="Y40" s="91">
        <f t="shared" si="10"/>
        <v>0.38855175362892541</v>
      </c>
      <c r="Z40" s="91">
        <f t="shared" si="11"/>
        <v>0.37873323655910118</v>
      </c>
      <c r="AA40" s="91">
        <f t="shared" si="12"/>
        <v>0.38528827708006447</v>
      </c>
    </row>
    <row r="41" spans="1:27" ht="21">
      <c r="A41" s="74" t="s">
        <v>404</v>
      </c>
      <c r="B41" s="74" t="s">
        <v>432</v>
      </c>
      <c r="C41" s="74">
        <v>3</v>
      </c>
      <c r="D41" s="75">
        <v>16</v>
      </c>
      <c r="E41" s="77">
        <v>18</v>
      </c>
      <c r="F41" s="77">
        <f t="shared" si="1"/>
        <v>254.46900494077323</v>
      </c>
      <c r="G41" s="135">
        <f t="shared" si="15"/>
        <v>0</v>
      </c>
      <c r="H41" s="135">
        <f t="shared" si="15"/>
        <v>0</v>
      </c>
      <c r="I41" s="135">
        <f t="shared" si="15"/>
        <v>1</v>
      </c>
      <c r="J41" s="135">
        <f t="shared" si="15"/>
        <v>1</v>
      </c>
      <c r="K41" s="135">
        <f t="shared" si="15"/>
        <v>1</v>
      </c>
      <c r="L41" s="135">
        <f t="shared" si="15"/>
        <v>3</v>
      </c>
      <c r="M41" s="135">
        <f t="shared" si="15"/>
        <v>5</v>
      </c>
      <c r="N41" s="135">
        <f t="shared" si="15"/>
        <v>8</v>
      </c>
      <c r="O41" s="135">
        <f t="shared" si="15"/>
        <v>10</v>
      </c>
      <c r="P41" s="135">
        <f t="shared" si="15"/>
        <v>13</v>
      </c>
      <c r="Q41" s="92"/>
      <c r="R41" s="91">
        <f t="shared" si="3"/>
        <v>0</v>
      </c>
      <c r="S41" s="91">
        <f t="shared" si="4"/>
        <v>0</v>
      </c>
      <c r="T41" s="91">
        <f t="shared" si="5"/>
        <v>0.4002952795426255</v>
      </c>
      <c r="U41" s="91">
        <f t="shared" si="6"/>
        <v>0.23325245568401312</v>
      </c>
      <c r="V41" s="91">
        <f t="shared" si="7"/>
        <v>0.1733702355090174</v>
      </c>
      <c r="W41" s="91">
        <f t="shared" si="8"/>
        <v>0.3200408704044872</v>
      </c>
      <c r="X41" s="91">
        <f t="shared" si="9"/>
        <v>0.3782931115906768</v>
      </c>
      <c r="Y41" s="91">
        <f t="shared" si="10"/>
        <v>0.39340865054928698</v>
      </c>
      <c r="Z41" s="91">
        <f t="shared" si="11"/>
        <v>0.36871865578470181</v>
      </c>
      <c r="AA41" s="91">
        <f t="shared" si="12"/>
        <v>0.37289389316664323</v>
      </c>
    </row>
    <row r="42" spans="1:27" ht="21">
      <c r="A42" s="74" t="s">
        <v>404</v>
      </c>
      <c r="B42" s="74" t="s">
        <v>433</v>
      </c>
      <c r="C42" s="74">
        <v>3</v>
      </c>
      <c r="D42" s="75">
        <v>25</v>
      </c>
      <c r="E42" s="77">
        <v>22</v>
      </c>
      <c r="F42" s="77">
        <f t="shared" ref="F42:F65" si="16">PI()*E42^2/4</f>
        <v>380.13271108436498</v>
      </c>
      <c r="G42" s="135">
        <f t="shared" si="15"/>
        <v>0</v>
      </c>
      <c r="H42" s="135">
        <f t="shared" si="15"/>
        <v>0</v>
      </c>
      <c r="I42" s="135">
        <f t="shared" si="15"/>
        <v>0</v>
      </c>
      <c r="J42" s="135">
        <f t="shared" si="15"/>
        <v>1</v>
      </c>
      <c r="K42" s="135">
        <f t="shared" si="15"/>
        <v>1</v>
      </c>
      <c r="L42" s="135">
        <f t="shared" si="15"/>
        <v>1</v>
      </c>
      <c r="M42" s="135">
        <f t="shared" si="15"/>
        <v>3</v>
      </c>
      <c r="N42" s="135">
        <f t="shared" si="15"/>
        <v>5</v>
      </c>
      <c r="O42" s="135">
        <f t="shared" si="15"/>
        <v>7</v>
      </c>
      <c r="P42" s="135">
        <f t="shared" si="15"/>
        <v>9</v>
      </c>
      <c r="Q42" s="92"/>
      <c r="R42" s="91">
        <f t="shared" si="3"/>
        <v>0</v>
      </c>
      <c r="S42" s="91">
        <f t="shared" si="4"/>
        <v>0</v>
      </c>
      <c r="T42" s="91">
        <f t="shared" si="5"/>
        <v>0</v>
      </c>
      <c r="U42" s="91">
        <f t="shared" si="6"/>
        <v>0.34843885355266163</v>
      </c>
      <c r="V42" s="91">
        <f t="shared" si="7"/>
        <v>0.25898516662458154</v>
      </c>
      <c r="W42" s="91">
        <f t="shared" si="8"/>
        <v>0.15936191489276935</v>
      </c>
      <c r="X42" s="91">
        <f t="shared" si="9"/>
        <v>0.33906271483312517</v>
      </c>
      <c r="Y42" s="91">
        <f t="shared" si="10"/>
        <v>0.36730282960234356</v>
      </c>
      <c r="Z42" s="91">
        <f t="shared" si="11"/>
        <v>0.38556135981437345</v>
      </c>
      <c r="AA42" s="91">
        <f t="shared" si="12"/>
        <v>0.38564240233473362</v>
      </c>
    </row>
    <row r="43" spans="1:27" ht="21">
      <c r="A43" s="74" t="s">
        <v>404</v>
      </c>
      <c r="B43" s="74" t="s">
        <v>434</v>
      </c>
      <c r="C43" s="74">
        <v>3</v>
      </c>
      <c r="D43" s="75">
        <v>35</v>
      </c>
      <c r="E43" s="77">
        <v>24</v>
      </c>
      <c r="F43" s="77">
        <f t="shared" si="16"/>
        <v>452.38934211693021</v>
      </c>
      <c r="G43" s="135">
        <f t="shared" si="15"/>
        <v>0</v>
      </c>
      <c r="H43" s="135">
        <f t="shared" si="15"/>
        <v>0</v>
      </c>
      <c r="I43" s="135">
        <f t="shared" si="15"/>
        <v>0</v>
      </c>
      <c r="J43" s="135">
        <f t="shared" si="15"/>
        <v>1</v>
      </c>
      <c r="K43" s="135">
        <f t="shared" si="15"/>
        <v>1</v>
      </c>
      <c r="L43" s="135">
        <f t="shared" si="15"/>
        <v>1</v>
      </c>
      <c r="M43" s="135">
        <f t="shared" si="15"/>
        <v>2</v>
      </c>
      <c r="N43" s="135">
        <f t="shared" si="15"/>
        <v>4</v>
      </c>
      <c r="O43" s="135">
        <f t="shared" si="15"/>
        <v>6</v>
      </c>
      <c r="P43" s="135">
        <f t="shared" si="15"/>
        <v>7</v>
      </c>
      <c r="Q43" s="92"/>
      <c r="R43" s="91">
        <f t="shared" si="3"/>
        <v>0</v>
      </c>
      <c r="S43" s="91">
        <f t="shared" si="4"/>
        <v>0</v>
      </c>
      <c r="T43" s="91">
        <f t="shared" si="5"/>
        <v>0</v>
      </c>
      <c r="U43" s="91">
        <f t="shared" si="6"/>
        <v>0.41467103232713448</v>
      </c>
      <c r="V43" s="91">
        <f t="shared" si="7"/>
        <v>0.30821375201603091</v>
      </c>
      <c r="W43" s="91">
        <f t="shared" si="8"/>
        <v>0.18965384912858502</v>
      </c>
      <c r="X43" s="91">
        <f t="shared" si="9"/>
        <v>0.26900843490892573</v>
      </c>
      <c r="Y43" s="91">
        <f t="shared" si="10"/>
        <v>0.3496965782660329</v>
      </c>
      <c r="Z43" s="91">
        <f t="shared" si="11"/>
        <v>0.39329989950368199</v>
      </c>
      <c r="AA43" s="91">
        <f t="shared" si="12"/>
        <v>0.35695825670653031</v>
      </c>
    </row>
    <row r="44" spans="1:27" ht="21">
      <c r="A44" s="74" t="s">
        <v>404</v>
      </c>
      <c r="B44" s="74" t="s">
        <v>435</v>
      </c>
      <c r="C44" s="74">
        <v>3</v>
      </c>
      <c r="D44" s="75">
        <v>50</v>
      </c>
      <c r="E44" s="77">
        <v>27</v>
      </c>
      <c r="F44" s="77">
        <f t="shared" si="16"/>
        <v>572.55526111673976</v>
      </c>
      <c r="G44" s="135">
        <f t="shared" si="15"/>
        <v>0</v>
      </c>
      <c r="H44" s="135">
        <f t="shared" si="15"/>
        <v>0</v>
      </c>
      <c r="I44" s="135">
        <f t="shared" si="15"/>
        <v>0</v>
      </c>
      <c r="J44" s="135">
        <f t="shared" si="15"/>
        <v>1</v>
      </c>
      <c r="K44" s="135">
        <f t="shared" si="15"/>
        <v>1</v>
      </c>
      <c r="L44" s="135">
        <f t="shared" si="15"/>
        <v>1</v>
      </c>
      <c r="M44" s="135">
        <f t="shared" si="15"/>
        <v>1</v>
      </c>
      <c r="N44" s="135">
        <f t="shared" si="15"/>
        <v>3</v>
      </c>
      <c r="O44" s="135">
        <f t="shared" si="15"/>
        <v>4</v>
      </c>
      <c r="P44" s="135">
        <f t="shared" si="15"/>
        <v>6</v>
      </c>
      <c r="Q44" s="92"/>
      <c r="R44" s="91">
        <f t="shared" si="3"/>
        <v>0</v>
      </c>
      <c r="S44" s="91">
        <f t="shared" si="4"/>
        <v>0</v>
      </c>
      <c r="T44" s="91">
        <f t="shared" si="5"/>
        <v>0</v>
      </c>
      <c r="U44" s="91">
        <f t="shared" si="6"/>
        <v>0.52481802528902954</v>
      </c>
      <c r="V44" s="91">
        <f t="shared" si="7"/>
        <v>0.39008302989528909</v>
      </c>
      <c r="W44" s="91">
        <f t="shared" si="8"/>
        <v>0.24003065280336539</v>
      </c>
      <c r="X44" s="91">
        <f t="shared" si="9"/>
        <v>0.17023190021580456</v>
      </c>
      <c r="Y44" s="91">
        <f t="shared" si="10"/>
        <v>0.33193854890096086</v>
      </c>
      <c r="Z44" s="91">
        <f t="shared" si="11"/>
        <v>0.33184679020623165</v>
      </c>
      <c r="AA44" s="91">
        <f t="shared" si="12"/>
        <v>0.38723596598074489</v>
      </c>
    </row>
    <row r="45" spans="1:27" ht="21">
      <c r="A45" s="74" t="s">
        <v>404</v>
      </c>
      <c r="B45" s="74" t="s">
        <v>436</v>
      </c>
      <c r="C45" s="74">
        <v>3</v>
      </c>
      <c r="D45" s="75">
        <v>70</v>
      </c>
      <c r="E45" s="77">
        <v>32</v>
      </c>
      <c r="F45" s="77">
        <f t="shared" si="16"/>
        <v>804.24771931898704</v>
      </c>
      <c r="G45" s="135">
        <f t="shared" si="15"/>
        <v>0</v>
      </c>
      <c r="H45" s="135">
        <f t="shared" si="15"/>
        <v>0</v>
      </c>
      <c r="I45" s="135">
        <f t="shared" si="15"/>
        <v>0</v>
      </c>
      <c r="J45" s="135">
        <f t="shared" si="15"/>
        <v>0</v>
      </c>
      <c r="K45" s="135">
        <f t="shared" si="15"/>
        <v>0</v>
      </c>
      <c r="L45" s="135">
        <f t="shared" si="15"/>
        <v>1</v>
      </c>
      <c r="M45" s="135">
        <f t="shared" si="15"/>
        <v>1</v>
      </c>
      <c r="N45" s="135">
        <f t="shared" si="15"/>
        <v>1</v>
      </c>
      <c r="O45" s="135">
        <f t="shared" si="15"/>
        <v>3</v>
      </c>
      <c r="P45" s="135">
        <f t="shared" si="15"/>
        <v>4</v>
      </c>
      <c r="Q45" s="92"/>
      <c r="R45" s="91">
        <f t="shared" si="3"/>
        <v>0</v>
      </c>
      <c r="S45" s="91">
        <f t="shared" si="4"/>
        <v>0</v>
      </c>
      <c r="T45" s="91">
        <f t="shared" si="5"/>
        <v>0</v>
      </c>
      <c r="U45" s="91">
        <f t="shared" si="6"/>
        <v>0</v>
      </c>
      <c r="V45" s="91">
        <f t="shared" si="7"/>
        <v>0</v>
      </c>
      <c r="W45" s="91">
        <f t="shared" si="8"/>
        <v>0.3371623984508178</v>
      </c>
      <c r="X45" s="91">
        <f t="shared" si="9"/>
        <v>0.23911860880793401</v>
      </c>
      <c r="Y45" s="91">
        <f t="shared" si="10"/>
        <v>0.15542070145157016</v>
      </c>
      <c r="Z45" s="91">
        <f t="shared" si="11"/>
        <v>0.34959991066993956</v>
      </c>
      <c r="AA45" s="91">
        <f t="shared" si="12"/>
        <v>0.36262426078123711</v>
      </c>
    </row>
    <row r="46" spans="1:27" ht="21">
      <c r="A46" s="74" t="s">
        <v>404</v>
      </c>
      <c r="B46" s="74" t="s">
        <v>437</v>
      </c>
      <c r="C46" s="74">
        <v>3</v>
      </c>
      <c r="D46" s="75">
        <v>95</v>
      </c>
      <c r="E46" s="77">
        <v>36</v>
      </c>
      <c r="F46" s="77">
        <f t="shared" si="16"/>
        <v>1017.8760197630929</v>
      </c>
      <c r="G46" s="135">
        <f t="shared" si="15"/>
        <v>0</v>
      </c>
      <c r="H46" s="135">
        <f t="shared" si="15"/>
        <v>0</v>
      </c>
      <c r="I46" s="135">
        <f t="shared" si="15"/>
        <v>0</v>
      </c>
      <c r="J46" s="135">
        <f t="shared" si="15"/>
        <v>0</v>
      </c>
      <c r="K46" s="135">
        <f t="shared" si="15"/>
        <v>0</v>
      </c>
      <c r="L46" s="135">
        <f t="shared" si="15"/>
        <v>1</v>
      </c>
      <c r="M46" s="135">
        <f t="shared" si="15"/>
        <v>1</v>
      </c>
      <c r="N46" s="135">
        <f t="shared" si="15"/>
        <v>1</v>
      </c>
      <c r="O46" s="135">
        <f t="shared" si="15"/>
        <v>2</v>
      </c>
      <c r="P46" s="135">
        <f t="shared" si="15"/>
        <v>3</v>
      </c>
      <c r="Q46" s="92"/>
      <c r="R46" s="91">
        <f t="shared" si="3"/>
        <v>0</v>
      </c>
      <c r="S46" s="91">
        <f t="shared" si="4"/>
        <v>0</v>
      </c>
      <c r="T46" s="91">
        <f t="shared" si="5"/>
        <v>0</v>
      </c>
      <c r="U46" s="91">
        <f t="shared" si="6"/>
        <v>0</v>
      </c>
      <c r="V46" s="91">
        <f t="shared" si="7"/>
        <v>0</v>
      </c>
      <c r="W46" s="91">
        <f t="shared" si="8"/>
        <v>0.42672116053931625</v>
      </c>
      <c r="X46" s="91">
        <f t="shared" si="9"/>
        <v>0.30263448927254144</v>
      </c>
      <c r="Y46" s="91">
        <f t="shared" si="10"/>
        <v>0.19670432527464349</v>
      </c>
      <c r="Z46" s="91">
        <f t="shared" si="11"/>
        <v>0.29497492462776148</v>
      </c>
      <c r="AA46" s="91">
        <f t="shared" si="12"/>
        <v>0.34420974753843991</v>
      </c>
    </row>
    <row r="47" spans="1:27" ht="21">
      <c r="A47" s="74" t="s">
        <v>404</v>
      </c>
      <c r="B47" s="74" t="s">
        <v>438</v>
      </c>
      <c r="C47" s="74">
        <v>3</v>
      </c>
      <c r="D47" s="75">
        <v>120</v>
      </c>
      <c r="E47" s="77">
        <v>39</v>
      </c>
      <c r="F47" s="77">
        <f t="shared" si="16"/>
        <v>1194.5906065275187</v>
      </c>
      <c r="G47" s="135">
        <f t="shared" si="15"/>
        <v>0</v>
      </c>
      <c r="H47" s="135">
        <f t="shared" si="15"/>
        <v>0</v>
      </c>
      <c r="I47" s="135">
        <f t="shared" si="15"/>
        <v>0</v>
      </c>
      <c r="J47" s="135">
        <f t="shared" si="15"/>
        <v>0</v>
      </c>
      <c r="K47" s="135">
        <f t="shared" si="15"/>
        <v>0</v>
      </c>
      <c r="L47" s="135">
        <f t="shared" si="15"/>
        <v>1</v>
      </c>
      <c r="M47" s="135">
        <f t="shared" si="15"/>
        <v>1</v>
      </c>
      <c r="N47" s="135">
        <f t="shared" si="15"/>
        <v>1</v>
      </c>
      <c r="O47" s="135">
        <f t="shared" si="15"/>
        <v>1</v>
      </c>
      <c r="P47" s="135">
        <f t="shared" si="15"/>
        <v>2</v>
      </c>
      <c r="Q47" s="92"/>
      <c r="R47" s="91">
        <f t="shared" si="3"/>
        <v>0</v>
      </c>
      <c r="S47" s="91">
        <f t="shared" si="4"/>
        <v>0</v>
      </c>
      <c r="T47" s="91">
        <f t="shared" si="5"/>
        <v>0</v>
      </c>
      <c r="U47" s="91">
        <f t="shared" si="6"/>
        <v>0</v>
      </c>
      <c r="V47" s="91">
        <f t="shared" si="7"/>
        <v>0</v>
      </c>
      <c r="W47" s="91">
        <f t="shared" si="8"/>
        <v>0.5008046953551698</v>
      </c>
      <c r="X47" s="91">
        <f t="shared" si="9"/>
        <v>0.35517519921569102</v>
      </c>
      <c r="Y47" s="91">
        <f t="shared" si="10"/>
        <v>0.23085438174593575</v>
      </c>
      <c r="Z47" s="91">
        <f t="shared" si="11"/>
        <v>0.17309292452115169</v>
      </c>
      <c r="AA47" s="91">
        <f t="shared" si="12"/>
        <v>0.26931225617590898</v>
      </c>
    </row>
    <row r="48" spans="1:27" ht="21">
      <c r="A48" s="74" t="s">
        <v>404</v>
      </c>
      <c r="B48" s="74" t="s">
        <v>439</v>
      </c>
      <c r="C48" s="74">
        <v>3</v>
      </c>
      <c r="D48" s="75">
        <v>150</v>
      </c>
      <c r="E48" s="77">
        <v>43</v>
      </c>
      <c r="F48" s="77">
        <f t="shared" si="16"/>
        <v>1452.2012041218818</v>
      </c>
      <c r="G48" s="135">
        <f t="shared" si="15"/>
        <v>0</v>
      </c>
      <c r="H48" s="135">
        <f t="shared" si="15"/>
        <v>0</v>
      </c>
      <c r="I48" s="135">
        <f t="shared" si="15"/>
        <v>0</v>
      </c>
      <c r="J48" s="135">
        <f t="shared" si="15"/>
        <v>0</v>
      </c>
      <c r="K48" s="135">
        <f t="shared" si="15"/>
        <v>0</v>
      </c>
      <c r="L48" s="135">
        <f t="shared" si="15"/>
        <v>0</v>
      </c>
      <c r="M48" s="135">
        <f t="shared" si="15"/>
        <v>1</v>
      </c>
      <c r="N48" s="135">
        <f t="shared" si="15"/>
        <v>1</v>
      </c>
      <c r="O48" s="135">
        <f t="shared" si="15"/>
        <v>1</v>
      </c>
      <c r="P48" s="135">
        <f t="shared" si="15"/>
        <v>1</v>
      </c>
      <c r="Q48" s="92"/>
      <c r="R48" s="91">
        <f t="shared" si="3"/>
        <v>0</v>
      </c>
      <c r="S48" s="91">
        <f t="shared" si="4"/>
        <v>0</v>
      </c>
      <c r="T48" s="91">
        <f t="shared" si="5"/>
        <v>0</v>
      </c>
      <c r="U48" s="91">
        <f t="shared" si="6"/>
        <v>0</v>
      </c>
      <c r="V48" s="91">
        <f t="shared" si="7"/>
        <v>0</v>
      </c>
      <c r="W48" s="91">
        <f t="shared" si="8"/>
        <v>0</v>
      </c>
      <c r="X48" s="91">
        <f t="shared" si="9"/>
        <v>0.43176787859948235</v>
      </c>
      <c r="Y48" s="91">
        <f t="shared" si="10"/>
        <v>0.28063757517964183</v>
      </c>
      <c r="Z48" s="91">
        <f t="shared" si="11"/>
        <v>0.21041999831664004</v>
      </c>
      <c r="AA48" s="91">
        <f t="shared" si="12"/>
        <v>0.16369439897082699</v>
      </c>
    </row>
    <row r="49" spans="1:27" ht="21">
      <c r="A49" s="74" t="s">
        <v>404</v>
      </c>
      <c r="B49" s="74" t="s">
        <v>440</v>
      </c>
      <c r="C49" s="74">
        <v>3</v>
      </c>
      <c r="D49" s="75">
        <v>185</v>
      </c>
      <c r="E49" s="77">
        <v>48</v>
      </c>
      <c r="F49" s="77">
        <f t="shared" si="16"/>
        <v>1809.5573684677208</v>
      </c>
      <c r="G49" s="135">
        <f t="shared" si="15"/>
        <v>0</v>
      </c>
      <c r="H49" s="135">
        <f t="shared" si="15"/>
        <v>0</v>
      </c>
      <c r="I49" s="135">
        <f t="shared" si="15"/>
        <v>0</v>
      </c>
      <c r="J49" s="135">
        <f t="shared" si="15"/>
        <v>0</v>
      </c>
      <c r="K49" s="135">
        <f t="shared" si="15"/>
        <v>0</v>
      </c>
      <c r="L49" s="135">
        <f t="shared" si="15"/>
        <v>0</v>
      </c>
      <c r="M49" s="135">
        <f t="shared" si="15"/>
        <v>0</v>
      </c>
      <c r="N49" s="135">
        <f t="shared" si="15"/>
        <v>1</v>
      </c>
      <c r="O49" s="135">
        <f t="shared" si="15"/>
        <v>1</v>
      </c>
      <c r="P49" s="135">
        <f t="shared" si="15"/>
        <v>1</v>
      </c>
      <c r="Q49" s="92"/>
      <c r="R49" s="91">
        <f t="shared" si="3"/>
        <v>0</v>
      </c>
      <c r="S49" s="91">
        <f t="shared" si="4"/>
        <v>0</v>
      </c>
      <c r="T49" s="91">
        <f t="shared" si="5"/>
        <v>0</v>
      </c>
      <c r="U49" s="91">
        <f t="shared" si="6"/>
        <v>0</v>
      </c>
      <c r="V49" s="91">
        <f t="shared" si="7"/>
        <v>0</v>
      </c>
      <c r="W49" s="91">
        <f t="shared" si="8"/>
        <v>0</v>
      </c>
      <c r="X49" s="91">
        <f t="shared" si="9"/>
        <v>0</v>
      </c>
      <c r="Y49" s="91">
        <f t="shared" si="10"/>
        <v>0.3496965782660329</v>
      </c>
      <c r="Z49" s="91">
        <f t="shared" si="11"/>
        <v>0.26219993300245464</v>
      </c>
      <c r="AA49" s="91">
        <f t="shared" si="12"/>
        <v>0.20397614668944589</v>
      </c>
    </row>
    <row r="50" spans="1:27" ht="21">
      <c r="A50" s="74" t="s">
        <v>404</v>
      </c>
      <c r="B50" s="74" t="s">
        <v>441</v>
      </c>
      <c r="C50" s="74">
        <v>3</v>
      </c>
      <c r="D50" s="75">
        <v>240</v>
      </c>
      <c r="E50" s="77">
        <v>54</v>
      </c>
      <c r="F50" s="77">
        <f t="shared" si="16"/>
        <v>2290.221044466959</v>
      </c>
      <c r="G50" s="135">
        <f t="shared" ref="G50:P59" si="17">IF(INT(0.4*G$7/$F50)&gt;=3,INT(0.4*G$7/$F50),IF(INT(0.31*G$7/$F50)&gt;=2,2,IF(0.53*G$7/$F50&gt;=1,1,0)))</f>
        <v>0</v>
      </c>
      <c r="H50" s="135">
        <f t="shared" si="17"/>
        <v>0</v>
      </c>
      <c r="I50" s="135">
        <f t="shared" si="17"/>
        <v>0</v>
      </c>
      <c r="J50" s="135">
        <f t="shared" si="17"/>
        <v>0</v>
      </c>
      <c r="K50" s="135">
        <f t="shared" si="17"/>
        <v>0</v>
      </c>
      <c r="L50" s="135">
        <f t="shared" si="17"/>
        <v>0</v>
      </c>
      <c r="M50" s="135">
        <f t="shared" si="17"/>
        <v>0</v>
      </c>
      <c r="N50" s="135">
        <f t="shared" si="17"/>
        <v>1</v>
      </c>
      <c r="O50" s="135">
        <f t="shared" si="17"/>
        <v>1</v>
      </c>
      <c r="P50" s="135">
        <f t="shared" si="17"/>
        <v>1</v>
      </c>
      <c r="Q50" s="92"/>
      <c r="R50" s="91">
        <f t="shared" si="3"/>
        <v>0</v>
      </c>
      <c r="S50" s="91">
        <f t="shared" si="4"/>
        <v>0</v>
      </c>
      <c r="T50" s="91">
        <f t="shared" si="5"/>
        <v>0</v>
      </c>
      <c r="U50" s="91">
        <f t="shared" si="6"/>
        <v>0</v>
      </c>
      <c r="V50" s="91">
        <f t="shared" si="7"/>
        <v>0</v>
      </c>
      <c r="W50" s="91">
        <f t="shared" si="8"/>
        <v>0</v>
      </c>
      <c r="X50" s="91">
        <f t="shared" si="9"/>
        <v>0</v>
      </c>
      <c r="Y50" s="91">
        <f t="shared" si="10"/>
        <v>0.44258473186794783</v>
      </c>
      <c r="Z50" s="91">
        <f t="shared" si="11"/>
        <v>0.33184679020623165</v>
      </c>
      <c r="AA50" s="91">
        <f t="shared" si="12"/>
        <v>0.25815731065382991</v>
      </c>
    </row>
    <row r="51" spans="1:27" ht="21">
      <c r="A51" s="74" t="s">
        <v>404</v>
      </c>
      <c r="B51" s="74" t="s">
        <v>442</v>
      </c>
      <c r="C51" s="74">
        <v>3</v>
      </c>
      <c r="D51" s="75">
        <v>300</v>
      </c>
      <c r="E51" s="77">
        <v>59</v>
      </c>
      <c r="F51" s="77">
        <f t="shared" si="16"/>
        <v>2733.9710067865176</v>
      </c>
      <c r="G51" s="135">
        <f t="shared" si="17"/>
        <v>0</v>
      </c>
      <c r="H51" s="135">
        <f t="shared" si="17"/>
        <v>0</v>
      </c>
      <c r="I51" s="135">
        <f t="shared" si="17"/>
        <v>0</v>
      </c>
      <c r="J51" s="135">
        <f t="shared" si="17"/>
        <v>0</v>
      </c>
      <c r="K51" s="135">
        <f t="shared" si="17"/>
        <v>0</v>
      </c>
      <c r="L51" s="135">
        <f t="shared" si="17"/>
        <v>0</v>
      </c>
      <c r="M51" s="135">
        <f t="shared" si="17"/>
        <v>0</v>
      </c>
      <c r="N51" s="135">
        <f t="shared" si="17"/>
        <v>1</v>
      </c>
      <c r="O51" s="135">
        <f t="shared" si="17"/>
        <v>1</v>
      </c>
      <c r="P51" s="135">
        <f t="shared" si="17"/>
        <v>1</v>
      </c>
      <c r="Q51" s="92"/>
      <c r="R51" s="91">
        <f t="shared" si="3"/>
        <v>0</v>
      </c>
      <c r="S51" s="91">
        <f t="shared" si="4"/>
        <v>0</v>
      </c>
      <c r="T51" s="91">
        <f t="shared" si="5"/>
        <v>0</v>
      </c>
      <c r="U51" s="91">
        <f t="shared" si="6"/>
        <v>0</v>
      </c>
      <c r="V51" s="91">
        <f t="shared" si="7"/>
        <v>0</v>
      </c>
      <c r="W51" s="91">
        <f t="shared" si="8"/>
        <v>0</v>
      </c>
      <c r="X51" s="91">
        <f t="shared" si="9"/>
        <v>0</v>
      </c>
      <c r="Y51" s="91">
        <f t="shared" si="10"/>
        <v>0.52833931811808177</v>
      </c>
      <c r="Z51" s="91">
        <f t="shared" si="11"/>
        <v>0.39614495086004542</v>
      </c>
      <c r="AA51" s="91">
        <f t="shared" si="12"/>
        <v>0.30817750287585116</v>
      </c>
    </row>
    <row r="52" spans="1:27" ht="21">
      <c r="A52" s="74" t="s">
        <v>404</v>
      </c>
      <c r="B52" s="74" t="s">
        <v>443</v>
      </c>
      <c r="C52" s="74">
        <v>3</v>
      </c>
      <c r="D52" s="75">
        <v>400</v>
      </c>
      <c r="E52" s="77">
        <v>66</v>
      </c>
      <c r="F52" s="77">
        <f t="shared" si="16"/>
        <v>3421.1943997592848</v>
      </c>
      <c r="G52" s="135">
        <f t="shared" si="17"/>
        <v>0</v>
      </c>
      <c r="H52" s="135">
        <f t="shared" si="17"/>
        <v>0</v>
      </c>
      <c r="I52" s="135">
        <f t="shared" si="17"/>
        <v>0</v>
      </c>
      <c r="J52" s="135">
        <f t="shared" si="17"/>
        <v>0</v>
      </c>
      <c r="K52" s="135">
        <f t="shared" si="17"/>
        <v>0</v>
      </c>
      <c r="L52" s="135">
        <f t="shared" si="17"/>
        <v>0</v>
      </c>
      <c r="M52" s="135">
        <f t="shared" si="17"/>
        <v>0</v>
      </c>
      <c r="N52" s="135">
        <f t="shared" si="17"/>
        <v>0</v>
      </c>
      <c r="O52" s="135">
        <f t="shared" si="17"/>
        <v>1</v>
      </c>
      <c r="P52" s="135">
        <f t="shared" si="17"/>
        <v>1</v>
      </c>
      <c r="Q52" s="92"/>
      <c r="R52" s="91">
        <f t="shared" si="3"/>
        <v>0</v>
      </c>
      <c r="S52" s="91">
        <f t="shared" si="4"/>
        <v>0</v>
      </c>
      <c r="T52" s="91">
        <f t="shared" si="5"/>
        <v>0</v>
      </c>
      <c r="U52" s="91">
        <f t="shared" si="6"/>
        <v>0</v>
      </c>
      <c r="V52" s="91">
        <f t="shared" si="7"/>
        <v>0</v>
      </c>
      <c r="W52" s="91">
        <f t="shared" si="8"/>
        <v>0</v>
      </c>
      <c r="X52" s="91">
        <f t="shared" si="9"/>
        <v>0</v>
      </c>
      <c r="Y52" s="91">
        <f t="shared" si="10"/>
        <v>0</v>
      </c>
      <c r="Z52" s="91">
        <f t="shared" si="11"/>
        <v>0.49572174833276583</v>
      </c>
      <c r="AA52" s="91">
        <f t="shared" si="12"/>
        <v>0.38564240233473362</v>
      </c>
    </row>
    <row r="53" spans="1:27" ht="21">
      <c r="A53" s="74" t="s">
        <v>404</v>
      </c>
      <c r="B53" s="74" t="s">
        <v>444</v>
      </c>
      <c r="C53" s="74">
        <v>4</v>
      </c>
      <c r="D53" s="75">
        <v>10</v>
      </c>
      <c r="E53" s="77">
        <v>18</v>
      </c>
      <c r="F53" s="77">
        <f t="shared" si="16"/>
        <v>254.46900494077323</v>
      </c>
      <c r="G53" s="135">
        <f t="shared" si="17"/>
        <v>0</v>
      </c>
      <c r="H53" s="135">
        <f t="shared" si="17"/>
        <v>0</v>
      </c>
      <c r="I53" s="135">
        <f t="shared" si="17"/>
        <v>1</v>
      </c>
      <c r="J53" s="135">
        <f t="shared" si="17"/>
        <v>1</v>
      </c>
      <c r="K53" s="135">
        <f t="shared" si="17"/>
        <v>1</v>
      </c>
      <c r="L53" s="135">
        <f t="shared" si="17"/>
        <v>3</v>
      </c>
      <c r="M53" s="135">
        <f t="shared" si="17"/>
        <v>5</v>
      </c>
      <c r="N53" s="135">
        <f t="shared" si="17"/>
        <v>8</v>
      </c>
      <c r="O53" s="135">
        <f t="shared" si="17"/>
        <v>10</v>
      </c>
      <c r="P53" s="135">
        <f t="shared" si="17"/>
        <v>13</v>
      </c>
      <c r="Q53" s="92"/>
      <c r="R53" s="91">
        <f t="shared" si="3"/>
        <v>0</v>
      </c>
      <c r="S53" s="91">
        <f t="shared" si="4"/>
        <v>0</v>
      </c>
      <c r="T53" s="91">
        <f t="shared" si="5"/>
        <v>0.4002952795426255</v>
      </c>
      <c r="U53" s="91">
        <f t="shared" si="6"/>
        <v>0.23325245568401312</v>
      </c>
      <c r="V53" s="91">
        <f t="shared" si="7"/>
        <v>0.1733702355090174</v>
      </c>
      <c r="W53" s="91">
        <f t="shared" si="8"/>
        <v>0.3200408704044872</v>
      </c>
      <c r="X53" s="91">
        <f t="shared" si="9"/>
        <v>0.3782931115906768</v>
      </c>
      <c r="Y53" s="91">
        <f t="shared" si="10"/>
        <v>0.39340865054928698</v>
      </c>
      <c r="Z53" s="91">
        <f t="shared" si="11"/>
        <v>0.36871865578470181</v>
      </c>
      <c r="AA53" s="91">
        <f t="shared" si="12"/>
        <v>0.37289389316664323</v>
      </c>
    </row>
    <row r="54" spans="1:27" ht="21">
      <c r="A54" s="74" t="s">
        <v>404</v>
      </c>
      <c r="B54" s="74" t="s">
        <v>445</v>
      </c>
      <c r="C54" s="74">
        <v>4</v>
      </c>
      <c r="D54" s="75">
        <v>16</v>
      </c>
      <c r="E54" s="77">
        <v>20</v>
      </c>
      <c r="F54" s="77">
        <f t="shared" si="16"/>
        <v>314.15926535897933</v>
      </c>
      <c r="G54" s="135">
        <f t="shared" si="17"/>
        <v>0</v>
      </c>
      <c r="H54" s="135">
        <f t="shared" si="17"/>
        <v>0</v>
      </c>
      <c r="I54" s="135">
        <f t="shared" si="17"/>
        <v>1</v>
      </c>
      <c r="J54" s="135">
        <f t="shared" si="17"/>
        <v>1</v>
      </c>
      <c r="K54" s="135">
        <f t="shared" si="17"/>
        <v>1</v>
      </c>
      <c r="L54" s="135">
        <f t="shared" si="17"/>
        <v>3</v>
      </c>
      <c r="M54" s="135">
        <f t="shared" si="17"/>
        <v>4</v>
      </c>
      <c r="N54" s="135">
        <f t="shared" si="17"/>
        <v>6</v>
      </c>
      <c r="O54" s="135">
        <f t="shared" si="17"/>
        <v>8</v>
      </c>
      <c r="P54" s="135">
        <f t="shared" si="17"/>
        <v>11</v>
      </c>
      <c r="Q54" s="92"/>
      <c r="R54" s="91">
        <f t="shared" si="3"/>
        <v>0</v>
      </c>
      <c r="S54" s="91">
        <f t="shared" si="4"/>
        <v>0</v>
      </c>
      <c r="T54" s="91">
        <f t="shared" si="5"/>
        <v>0.49419170313904387</v>
      </c>
      <c r="U54" s="91">
        <f t="shared" si="6"/>
        <v>0.28796599467162115</v>
      </c>
      <c r="V54" s="91">
        <f t="shared" si="7"/>
        <v>0.21403732778891038</v>
      </c>
      <c r="W54" s="91">
        <f t="shared" si="8"/>
        <v>0.39511218568455209</v>
      </c>
      <c r="X54" s="91">
        <f t="shared" si="9"/>
        <v>0.3736228262623969</v>
      </c>
      <c r="Y54" s="91">
        <f t="shared" si="10"/>
        <v>0.36426726902711759</v>
      </c>
      <c r="Z54" s="91">
        <f t="shared" si="11"/>
        <v>0.36416657361452037</v>
      </c>
      <c r="AA54" s="91">
        <f t="shared" si="12"/>
        <v>0.38953778013609458</v>
      </c>
    </row>
    <row r="55" spans="1:27" ht="21">
      <c r="A55" s="74" t="s">
        <v>404</v>
      </c>
      <c r="B55" s="74" t="s">
        <v>446</v>
      </c>
      <c r="C55" s="74">
        <v>4</v>
      </c>
      <c r="D55" s="75">
        <v>25</v>
      </c>
      <c r="E55" s="77">
        <v>24</v>
      </c>
      <c r="F55" s="77">
        <f t="shared" si="16"/>
        <v>452.38934211693021</v>
      </c>
      <c r="G55" s="135">
        <f t="shared" si="17"/>
        <v>0</v>
      </c>
      <c r="H55" s="135">
        <f t="shared" si="17"/>
        <v>0</v>
      </c>
      <c r="I55" s="135">
        <f t="shared" si="17"/>
        <v>0</v>
      </c>
      <c r="J55" s="135">
        <f t="shared" si="17"/>
        <v>1</v>
      </c>
      <c r="K55" s="135">
        <f t="shared" si="17"/>
        <v>1</v>
      </c>
      <c r="L55" s="135">
        <f t="shared" si="17"/>
        <v>1</v>
      </c>
      <c r="M55" s="135">
        <f t="shared" si="17"/>
        <v>2</v>
      </c>
      <c r="N55" s="135">
        <f t="shared" si="17"/>
        <v>4</v>
      </c>
      <c r="O55" s="135">
        <f t="shared" si="17"/>
        <v>6</v>
      </c>
      <c r="P55" s="135">
        <f t="shared" si="17"/>
        <v>7</v>
      </c>
      <c r="Q55" s="92"/>
      <c r="R55" s="91">
        <f t="shared" si="3"/>
        <v>0</v>
      </c>
      <c r="S55" s="91">
        <f t="shared" si="4"/>
        <v>0</v>
      </c>
      <c r="T55" s="91">
        <f t="shared" si="5"/>
        <v>0</v>
      </c>
      <c r="U55" s="91">
        <f t="shared" si="6"/>
        <v>0.41467103232713448</v>
      </c>
      <c r="V55" s="91">
        <f t="shared" si="7"/>
        <v>0.30821375201603091</v>
      </c>
      <c r="W55" s="91">
        <f t="shared" si="8"/>
        <v>0.18965384912858502</v>
      </c>
      <c r="X55" s="91">
        <f t="shared" si="9"/>
        <v>0.26900843490892573</v>
      </c>
      <c r="Y55" s="91">
        <f t="shared" si="10"/>
        <v>0.3496965782660329</v>
      </c>
      <c r="Z55" s="91">
        <f t="shared" si="11"/>
        <v>0.39329989950368199</v>
      </c>
      <c r="AA55" s="91">
        <f t="shared" si="12"/>
        <v>0.35695825670653031</v>
      </c>
    </row>
    <row r="56" spans="1:27" ht="21">
      <c r="A56" s="74" t="s">
        <v>404</v>
      </c>
      <c r="B56" s="74" t="s">
        <v>447</v>
      </c>
      <c r="C56" s="74">
        <v>4</v>
      </c>
      <c r="D56" s="75">
        <v>35</v>
      </c>
      <c r="E56" s="77">
        <v>27</v>
      </c>
      <c r="F56" s="77">
        <f t="shared" si="16"/>
        <v>572.55526111673976</v>
      </c>
      <c r="G56" s="135">
        <f t="shared" si="17"/>
        <v>0</v>
      </c>
      <c r="H56" s="135">
        <f t="shared" si="17"/>
        <v>0</v>
      </c>
      <c r="I56" s="135">
        <f t="shared" si="17"/>
        <v>0</v>
      </c>
      <c r="J56" s="135">
        <f t="shared" si="17"/>
        <v>1</v>
      </c>
      <c r="K56" s="135">
        <f t="shared" si="17"/>
        <v>1</v>
      </c>
      <c r="L56" s="135">
        <f t="shared" si="17"/>
        <v>1</v>
      </c>
      <c r="M56" s="135">
        <f t="shared" si="17"/>
        <v>1</v>
      </c>
      <c r="N56" s="135">
        <f t="shared" si="17"/>
        <v>3</v>
      </c>
      <c r="O56" s="135">
        <f t="shared" si="17"/>
        <v>4</v>
      </c>
      <c r="P56" s="135">
        <f t="shared" si="17"/>
        <v>6</v>
      </c>
      <c r="Q56" s="92"/>
      <c r="R56" s="91">
        <f t="shared" si="3"/>
        <v>0</v>
      </c>
      <c r="S56" s="91">
        <f t="shared" si="4"/>
        <v>0</v>
      </c>
      <c r="T56" s="91">
        <f t="shared" si="5"/>
        <v>0</v>
      </c>
      <c r="U56" s="91">
        <f t="shared" si="6"/>
        <v>0.52481802528902954</v>
      </c>
      <c r="V56" s="91">
        <f t="shared" si="7"/>
        <v>0.39008302989528909</v>
      </c>
      <c r="W56" s="91">
        <f t="shared" si="8"/>
        <v>0.24003065280336539</v>
      </c>
      <c r="X56" s="91">
        <f t="shared" si="9"/>
        <v>0.17023190021580456</v>
      </c>
      <c r="Y56" s="91">
        <f t="shared" si="10"/>
        <v>0.33193854890096086</v>
      </c>
      <c r="Z56" s="91">
        <f t="shared" si="11"/>
        <v>0.33184679020623165</v>
      </c>
      <c r="AA56" s="91">
        <f t="shared" si="12"/>
        <v>0.38723596598074489</v>
      </c>
    </row>
    <row r="57" spans="1:27" ht="21">
      <c r="A57" s="74" t="s">
        <v>404</v>
      </c>
      <c r="B57" s="74" t="s">
        <v>448</v>
      </c>
      <c r="C57" s="74">
        <v>4</v>
      </c>
      <c r="D57" s="75">
        <v>50</v>
      </c>
      <c r="E57" s="77">
        <v>30</v>
      </c>
      <c r="F57" s="77">
        <f t="shared" si="16"/>
        <v>706.85834705770344</v>
      </c>
      <c r="G57" s="135">
        <f t="shared" si="17"/>
        <v>0</v>
      </c>
      <c r="H57" s="135">
        <f t="shared" si="17"/>
        <v>0</v>
      </c>
      <c r="I57" s="135">
        <f t="shared" si="17"/>
        <v>0</v>
      </c>
      <c r="J57" s="135">
        <f t="shared" si="17"/>
        <v>0</v>
      </c>
      <c r="K57" s="135">
        <f t="shared" si="17"/>
        <v>1</v>
      </c>
      <c r="L57" s="135">
        <f t="shared" si="17"/>
        <v>1</v>
      </c>
      <c r="M57" s="135">
        <f t="shared" si="17"/>
        <v>1</v>
      </c>
      <c r="N57" s="135">
        <f t="shared" si="17"/>
        <v>2</v>
      </c>
      <c r="O57" s="135">
        <f t="shared" si="17"/>
        <v>3</v>
      </c>
      <c r="P57" s="135">
        <f t="shared" si="17"/>
        <v>5</v>
      </c>
      <c r="Q57" s="92"/>
      <c r="R57" s="91">
        <f t="shared" si="3"/>
        <v>0</v>
      </c>
      <c r="S57" s="91">
        <f t="shared" si="4"/>
        <v>0</v>
      </c>
      <c r="T57" s="91">
        <f t="shared" si="5"/>
        <v>0</v>
      </c>
      <c r="U57" s="91">
        <f t="shared" si="6"/>
        <v>0</v>
      </c>
      <c r="V57" s="91">
        <f t="shared" si="7"/>
        <v>0.48158398752504833</v>
      </c>
      <c r="W57" s="91">
        <f t="shared" si="8"/>
        <v>0.29633413926341406</v>
      </c>
      <c r="X57" s="91">
        <f t="shared" si="9"/>
        <v>0.21016283977259823</v>
      </c>
      <c r="Y57" s="91">
        <f t="shared" si="10"/>
        <v>0.27320045177033819</v>
      </c>
      <c r="Z57" s="91">
        <f t="shared" si="11"/>
        <v>0.30726554648725157</v>
      </c>
      <c r="AA57" s="91">
        <f t="shared" si="12"/>
        <v>0.39839091150282396</v>
      </c>
    </row>
    <row r="58" spans="1:27" ht="21">
      <c r="A58" s="74" t="s">
        <v>404</v>
      </c>
      <c r="B58" s="74" t="s">
        <v>449</v>
      </c>
      <c r="C58" s="74">
        <v>4</v>
      </c>
      <c r="D58" s="75">
        <v>70</v>
      </c>
      <c r="E58" s="77">
        <v>35</v>
      </c>
      <c r="F58" s="77">
        <f t="shared" si="16"/>
        <v>962.11275016187415</v>
      </c>
      <c r="G58" s="135">
        <f t="shared" si="17"/>
        <v>0</v>
      </c>
      <c r="H58" s="135">
        <f t="shared" si="17"/>
        <v>0</v>
      </c>
      <c r="I58" s="135">
        <f t="shared" si="17"/>
        <v>0</v>
      </c>
      <c r="J58" s="135">
        <f t="shared" si="17"/>
        <v>0</v>
      </c>
      <c r="K58" s="135">
        <f t="shared" si="17"/>
        <v>0</v>
      </c>
      <c r="L58" s="135">
        <f t="shared" si="17"/>
        <v>1</v>
      </c>
      <c r="M58" s="135">
        <f t="shared" si="17"/>
        <v>1</v>
      </c>
      <c r="N58" s="135">
        <f t="shared" si="17"/>
        <v>1</v>
      </c>
      <c r="O58" s="135">
        <f t="shared" si="17"/>
        <v>2</v>
      </c>
      <c r="P58" s="135">
        <f t="shared" si="17"/>
        <v>3</v>
      </c>
      <c r="Q58" s="92"/>
      <c r="R58" s="91">
        <f t="shared" si="3"/>
        <v>0</v>
      </c>
      <c r="S58" s="91">
        <f t="shared" si="4"/>
        <v>0</v>
      </c>
      <c r="T58" s="91">
        <f t="shared" si="5"/>
        <v>0</v>
      </c>
      <c r="U58" s="91">
        <f t="shared" si="6"/>
        <v>0</v>
      </c>
      <c r="V58" s="91">
        <f t="shared" si="7"/>
        <v>0</v>
      </c>
      <c r="W58" s="91">
        <f t="shared" si="8"/>
        <v>0.40334368955298028</v>
      </c>
      <c r="X58" s="91">
        <f t="shared" si="9"/>
        <v>0.28605497635714761</v>
      </c>
      <c r="Y58" s="91">
        <f t="shared" si="10"/>
        <v>0.18592808523259127</v>
      </c>
      <c r="Z58" s="91">
        <f t="shared" si="11"/>
        <v>0.27881503292361715</v>
      </c>
      <c r="AA58" s="91">
        <f t="shared" si="12"/>
        <v>0.32535257772730625</v>
      </c>
    </row>
    <row r="59" spans="1:27" ht="21">
      <c r="A59" s="74" t="s">
        <v>404</v>
      </c>
      <c r="B59" s="74" t="s">
        <v>450</v>
      </c>
      <c r="C59" s="74">
        <v>4</v>
      </c>
      <c r="D59" s="75">
        <v>95</v>
      </c>
      <c r="E59" s="77">
        <v>39</v>
      </c>
      <c r="F59" s="77">
        <f t="shared" si="16"/>
        <v>1194.5906065275187</v>
      </c>
      <c r="G59" s="135">
        <f t="shared" si="17"/>
        <v>0</v>
      </c>
      <c r="H59" s="135">
        <f t="shared" si="17"/>
        <v>0</v>
      </c>
      <c r="I59" s="135">
        <f t="shared" si="17"/>
        <v>0</v>
      </c>
      <c r="J59" s="135">
        <f t="shared" si="17"/>
        <v>0</v>
      </c>
      <c r="K59" s="135">
        <f t="shared" si="17"/>
        <v>0</v>
      </c>
      <c r="L59" s="135">
        <f t="shared" si="17"/>
        <v>1</v>
      </c>
      <c r="M59" s="135">
        <f t="shared" si="17"/>
        <v>1</v>
      </c>
      <c r="N59" s="135">
        <f t="shared" si="17"/>
        <v>1</v>
      </c>
      <c r="O59" s="135">
        <f t="shared" si="17"/>
        <v>1</v>
      </c>
      <c r="P59" s="135">
        <f t="shared" si="17"/>
        <v>2</v>
      </c>
      <c r="Q59" s="92"/>
      <c r="R59" s="91">
        <f t="shared" si="3"/>
        <v>0</v>
      </c>
      <c r="S59" s="91">
        <f t="shared" si="4"/>
        <v>0</v>
      </c>
      <c r="T59" s="91">
        <f t="shared" si="5"/>
        <v>0</v>
      </c>
      <c r="U59" s="91">
        <f t="shared" si="6"/>
        <v>0</v>
      </c>
      <c r="V59" s="91">
        <f t="shared" si="7"/>
        <v>0</v>
      </c>
      <c r="W59" s="91">
        <f t="shared" si="8"/>
        <v>0.5008046953551698</v>
      </c>
      <c r="X59" s="91">
        <f t="shared" si="9"/>
        <v>0.35517519921569102</v>
      </c>
      <c r="Y59" s="91">
        <f t="shared" si="10"/>
        <v>0.23085438174593575</v>
      </c>
      <c r="Z59" s="91">
        <f t="shared" si="11"/>
        <v>0.17309292452115169</v>
      </c>
      <c r="AA59" s="91">
        <f t="shared" si="12"/>
        <v>0.26931225617590898</v>
      </c>
    </row>
    <row r="60" spans="1:27" ht="21">
      <c r="A60" s="74" t="s">
        <v>404</v>
      </c>
      <c r="B60" s="74" t="s">
        <v>451</v>
      </c>
      <c r="C60" s="74">
        <v>4</v>
      </c>
      <c r="D60" s="75">
        <v>120</v>
      </c>
      <c r="E60" s="77">
        <v>43</v>
      </c>
      <c r="F60" s="77">
        <f t="shared" si="16"/>
        <v>1452.2012041218818</v>
      </c>
      <c r="G60" s="135">
        <f t="shared" ref="G60:P65" si="18">IF(INT(0.4*G$7/$F60)&gt;=3,INT(0.4*G$7/$F60),IF(INT(0.31*G$7/$F60)&gt;=2,2,IF(0.53*G$7/$F60&gt;=1,1,0)))</f>
        <v>0</v>
      </c>
      <c r="H60" s="135">
        <f t="shared" si="18"/>
        <v>0</v>
      </c>
      <c r="I60" s="135">
        <f t="shared" si="18"/>
        <v>0</v>
      </c>
      <c r="J60" s="135">
        <f t="shared" si="18"/>
        <v>0</v>
      </c>
      <c r="K60" s="135">
        <f t="shared" si="18"/>
        <v>0</v>
      </c>
      <c r="L60" s="135">
        <f t="shared" si="18"/>
        <v>0</v>
      </c>
      <c r="M60" s="135">
        <f t="shared" si="18"/>
        <v>1</v>
      </c>
      <c r="N60" s="135">
        <f t="shared" si="18"/>
        <v>1</v>
      </c>
      <c r="O60" s="135">
        <f t="shared" si="18"/>
        <v>1</v>
      </c>
      <c r="P60" s="135">
        <f t="shared" si="18"/>
        <v>1</v>
      </c>
      <c r="Q60" s="92"/>
      <c r="R60" s="91">
        <f t="shared" si="3"/>
        <v>0</v>
      </c>
      <c r="S60" s="91">
        <f t="shared" si="4"/>
        <v>0</v>
      </c>
      <c r="T60" s="91">
        <f t="shared" si="5"/>
        <v>0</v>
      </c>
      <c r="U60" s="91">
        <f t="shared" si="6"/>
        <v>0</v>
      </c>
      <c r="V60" s="91">
        <f t="shared" si="7"/>
        <v>0</v>
      </c>
      <c r="W60" s="91">
        <f t="shared" si="8"/>
        <v>0</v>
      </c>
      <c r="X60" s="91">
        <f t="shared" si="9"/>
        <v>0.43176787859948235</v>
      </c>
      <c r="Y60" s="91">
        <f t="shared" si="10"/>
        <v>0.28063757517964183</v>
      </c>
      <c r="Z60" s="91">
        <f t="shared" si="11"/>
        <v>0.21041999831664004</v>
      </c>
      <c r="AA60" s="91">
        <f t="shared" si="12"/>
        <v>0.16369439897082699</v>
      </c>
    </row>
    <row r="61" spans="1:27" ht="21">
      <c r="A61" s="74" t="s">
        <v>404</v>
      </c>
      <c r="B61" s="74" t="s">
        <v>452</v>
      </c>
      <c r="C61" s="74">
        <v>4</v>
      </c>
      <c r="D61" s="75">
        <v>150</v>
      </c>
      <c r="E61" s="77">
        <v>48</v>
      </c>
      <c r="F61" s="77">
        <f t="shared" si="16"/>
        <v>1809.5573684677208</v>
      </c>
      <c r="G61" s="135">
        <f t="shared" si="18"/>
        <v>0</v>
      </c>
      <c r="H61" s="135">
        <f t="shared" si="18"/>
        <v>0</v>
      </c>
      <c r="I61" s="135">
        <f t="shared" si="18"/>
        <v>0</v>
      </c>
      <c r="J61" s="135">
        <f t="shared" si="18"/>
        <v>0</v>
      </c>
      <c r="K61" s="135">
        <f t="shared" si="18"/>
        <v>0</v>
      </c>
      <c r="L61" s="135">
        <f t="shared" si="18"/>
        <v>0</v>
      </c>
      <c r="M61" s="135">
        <f t="shared" si="18"/>
        <v>0</v>
      </c>
      <c r="N61" s="135">
        <f t="shared" si="18"/>
        <v>1</v>
      </c>
      <c r="O61" s="135">
        <f t="shared" si="18"/>
        <v>1</v>
      </c>
      <c r="P61" s="135">
        <f t="shared" si="18"/>
        <v>1</v>
      </c>
      <c r="Q61" s="92"/>
      <c r="R61" s="91">
        <f t="shared" si="3"/>
        <v>0</v>
      </c>
      <c r="S61" s="91">
        <f t="shared" si="4"/>
        <v>0</v>
      </c>
      <c r="T61" s="91">
        <f t="shared" si="5"/>
        <v>0</v>
      </c>
      <c r="U61" s="91">
        <f t="shared" si="6"/>
        <v>0</v>
      </c>
      <c r="V61" s="91">
        <f t="shared" si="7"/>
        <v>0</v>
      </c>
      <c r="W61" s="91">
        <f t="shared" si="8"/>
        <v>0</v>
      </c>
      <c r="X61" s="91">
        <f t="shared" si="9"/>
        <v>0</v>
      </c>
      <c r="Y61" s="91">
        <f t="shared" si="10"/>
        <v>0.3496965782660329</v>
      </c>
      <c r="Z61" s="91">
        <f t="shared" si="11"/>
        <v>0.26219993300245464</v>
      </c>
      <c r="AA61" s="91">
        <f t="shared" si="12"/>
        <v>0.20397614668944589</v>
      </c>
    </row>
    <row r="62" spans="1:27" ht="21">
      <c r="A62" s="74" t="s">
        <v>404</v>
      </c>
      <c r="B62" s="74" t="s">
        <v>453</v>
      </c>
      <c r="C62" s="74">
        <v>4</v>
      </c>
      <c r="D62" s="75">
        <v>185</v>
      </c>
      <c r="E62" s="77">
        <v>53</v>
      </c>
      <c r="F62" s="77">
        <f t="shared" si="16"/>
        <v>2206.1834409834323</v>
      </c>
      <c r="G62" s="135">
        <f t="shared" si="18"/>
        <v>0</v>
      </c>
      <c r="H62" s="135">
        <f t="shared" si="18"/>
        <v>0</v>
      </c>
      <c r="I62" s="135">
        <f t="shared" si="18"/>
        <v>0</v>
      </c>
      <c r="J62" s="135">
        <f t="shared" si="18"/>
        <v>0</v>
      </c>
      <c r="K62" s="135">
        <f t="shared" si="18"/>
        <v>0</v>
      </c>
      <c r="L62" s="135">
        <f t="shared" si="18"/>
        <v>0</v>
      </c>
      <c r="M62" s="135">
        <f t="shared" si="18"/>
        <v>0</v>
      </c>
      <c r="N62" s="135">
        <f t="shared" si="18"/>
        <v>1</v>
      </c>
      <c r="O62" s="135">
        <f t="shared" si="18"/>
        <v>1</v>
      </c>
      <c r="P62" s="135">
        <f t="shared" si="18"/>
        <v>1</v>
      </c>
      <c r="Q62" s="92"/>
      <c r="R62" s="91">
        <f t="shared" si="3"/>
        <v>0</v>
      </c>
      <c r="S62" s="91">
        <f t="shared" si="4"/>
        <v>0</v>
      </c>
      <c r="T62" s="91">
        <f t="shared" si="5"/>
        <v>0</v>
      </c>
      <c r="U62" s="91">
        <f t="shared" si="6"/>
        <v>0</v>
      </c>
      <c r="V62" s="91">
        <f t="shared" si="7"/>
        <v>0</v>
      </c>
      <c r="W62" s="91">
        <f t="shared" si="8"/>
        <v>0</v>
      </c>
      <c r="X62" s="91">
        <f t="shared" si="9"/>
        <v>0</v>
      </c>
      <c r="Y62" s="91">
        <f t="shared" si="10"/>
        <v>0.42634448279048887</v>
      </c>
      <c r="Z62" s="91">
        <f t="shared" si="11"/>
        <v>0.31966997040099615</v>
      </c>
      <c r="AA62" s="91">
        <f t="shared" si="12"/>
        <v>0.24868446009142947</v>
      </c>
    </row>
    <row r="63" spans="1:27" ht="21">
      <c r="A63" s="74" t="s">
        <v>404</v>
      </c>
      <c r="B63" s="74" t="s">
        <v>454</v>
      </c>
      <c r="C63" s="74">
        <v>4</v>
      </c>
      <c r="D63" s="75">
        <v>240</v>
      </c>
      <c r="E63" s="77">
        <v>60</v>
      </c>
      <c r="F63" s="77">
        <f t="shared" si="16"/>
        <v>2827.4333882308138</v>
      </c>
      <c r="G63" s="135">
        <f t="shared" si="18"/>
        <v>0</v>
      </c>
      <c r="H63" s="135">
        <f t="shared" si="18"/>
        <v>0</v>
      </c>
      <c r="I63" s="135">
        <f t="shared" si="18"/>
        <v>0</v>
      </c>
      <c r="J63" s="135">
        <f t="shared" si="18"/>
        <v>0</v>
      </c>
      <c r="K63" s="135">
        <f t="shared" si="18"/>
        <v>0</v>
      </c>
      <c r="L63" s="135">
        <f t="shared" si="18"/>
        <v>0</v>
      </c>
      <c r="M63" s="135">
        <f t="shared" si="18"/>
        <v>0</v>
      </c>
      <c r="N63" s="135">
        <f t="shared" si="18"/>
        <v>0</v>
      </c>
      <c r="O63" s="135">
        <f t="shared" si="18"/>
        <v>1</v>
      </c>
      <c r="P63" s="135">
        <f t="shared" si="18"/>
        <v>1</v>
      </c>
      <c r="Q63" s="92"/>
      <c r="R63" s="91">
        <f t="shared" si="3"/>
        <v>0</v>
      </c>
      <c r="S63" s="91">
        <f t="shared" si="4"/>
        <v>0</v>
      </c>
      <c r="T63" s="91">
        <f t="shared" si="5"/>
        <v>0</v>
      </c>
      <c r="U63" s="91">
        <f t="shared" si="6"/>
        <v>0</v>
      </c>
      <c r="V63" s="91">
        <f t="shared" si="7"/>
        <v>0</v>
      </c>
      <c r="W63" s="91">
        <f t="shared" si="8"/>
        <v>0</v>
      </c>
      <c r="X63" s="91">
        <f t="shared" si="9"/>
        <v>0</v>
      </c>
      <c r="Y63" s="91">
        <f t="shared" si="10"/>
        <v>0</v>
      </c>
      <c r="Z63" s="91">
        <f t="shared" si="11"/>
        <v>0.40968739531633541</v>
      </c>
      <c r="AA63" s="91">
        <f t="shared" si="12"/>
        <v>0.31871272920225918</v>
      </c>
    </row>
    <row r="64" spans="1:27" ht="21">
      <c r="A64" s="74" t="s">
        <v>404</v>
      </c>
      <c r="B64" s="74" t="s">
        <v>455</v>
      </c>
      <c r="C64" s="74">
        <v>4</v>
      </c>
      <c r="D64" s="75">
        <v>300</v>
      </c>
      <c r="E64" s="77">
        <v>66</v>
      </c>
      <c r="F64" s="77">
        <f t="shared" si="16"/>
        <v>3421.1943997592848</v>
      </c>
      <c r="G64" s="135">
        <f t="shared" si="18"/>
        <v>0</v>
      </c>
      <c r="H64" s="135">
        <f t="shared" si="18"/>
        <v>0</v>
      </c>
      <c r="I64" s="135">
        <f t="shared" si="18"/>
        <v>0</v>
      </c>
      <c r="J64" s="135">
        <f t="shared" si="18"/>
        <v>0</v>
      </c>
      <c r="K64" s="135">
        <f t="shared" si="18"/>
        <v>0</v>
      </c>
      <c r="L64" s="135">
        <f t="shared" si="18"/>
        <v>0</v>
      </c>
      <c r="M64" s="135">
        <f t="shared" si="18"/>
        <v>0</v>
      </c>
      <c r="N64" s="135">
        <f t="shared" si="18"/>
        <v>0</v>
      </c>
      <c r="O64" s="135">
        <f t="shared" si="18"/>
        <v>1</v>
      </c>
      <c r="P64" s="135">
        <f t="shared" si="18"/>
        <v>1</v>
      </c>
      <c r="Q64" s="92"/>
      <c r="R64" s="91">
        <f t="shared" si="3"/>
        <v>0</v>
      </c>
      <c r="S64" s="91">
        <f t="shared" si="4"/>
        <v>0</v>
      </c>
      <c r="T64" s="91">
        <f t="shared" si="5"/>
        <v>0</v>
      </c>
      <c r="U64" s="91">
        <f t="shared" si="6"/>
        <v>0</v>
      </c>
      <c r="V64" s="91">
        <f t="shared" si="7"/>
        <v>0</v>
      </c>
      <c r="W64" s="91">
        <f t="shared" si="8"/>
        <v>0</v>
      </c>
      <c r="X64" s="91">
        <f t="shared" si="9"/>
        <v>0</v>
      </c>
      <c r="Y64" s="91">
        <f t="shared" si="10"/>
        <v>0</v>
      </c>
      <c r="Z64" s="91">
        <f t="shared" si="11"/>
        <v>0.49572174833276583</v>
      </c>
      <c r="AA64" s="91">
        <f t="shared" si="12"/>
        <v>0.38564240233473362</v>
      </c>
    </row>
    <row r="65" spans="1:27" ht="21">
      <c r="A65" s="74" t="s">
        <v>404</v>
      </c>
      <c r="B65" s="74" t="s">
        <v>456</v>
      </c>
      <c r="C65" s="74">
        <v>4</v>
      </c>
      <c r="D65" s="75">
        <v>400</v>
      </c>
      <c r="E65" s="77">
        <v>74</v>
      </c>
      <c r="F65" s="77">
        <f t="shared" si="16"/>
        <v>4300.8403427644271</v>
      </c>
      <c r="G65" s="135">
        <f t="shared" si="18"/>
        <v>0</v>
      </c>
      <c r="H65" s="135">
        <f t="shared" si="18"/>
        <v>0</v>
      </c>
      <c r="I65" s="135">
        <f t="shared" si="18"/>
        <v>0</v>
      </c>
      <c r="J65" s="135">
        <f t="shared" si="18"/>
        <v>0</v>
      </c>
      <c r="K65" s="135">
        <f t="shared" si="18"/>
        <v>0</v>
      </c>
      <c r="L65" s="135">
        <f t="shared" si="18"/>
        <v>0</v>
      </c>
      <c r="M65" s="135">
        <f t="shared" si="18"/>
        <v>0</v>
      </c>
      <c r="N65" s="135">
        <f t="shared" si="18"/>
        <v>0</v>
      </c>
      <c r="O65" s="135">
        <f t="shared" si="18"/>
        <v>0</v>
      </c>
      <c r="P65" s="135">
        <f t="shared" si="18"/>
        <v>1</v>
      </c>
      <c r="Q65" s="92"/>
      <c r="R65" s="91">
        <f t="shared" si="3"/>
        <v>0</v>
      </c>
      <c r="S65" s="91">
        <f t="shared" si="4"/>
        <v>0</v>
      </c>
      <c r="T65" s="91">
        <f t="shared" si="5"/>
        <v>0</v>
      </c>
      <c r="U65" s="91">
        <f t="shared" si="6"/>
        <v>0</v>
      </c>
      <c r="V65" s="91">
        <f t="shared" si="7"/>
        <v>0</v>
      </c>
      <c r="W65" s="91">
        <f t="shared" si="8"/>
        <v>0</v>
      </c>
      <c r="X65" s="91">
        <f t="shared" si="9"/>
        <v>0</v>
      </c>
      <c r="Y65" s="91">
        <f t="shared" si="10"/>
        <v>0</v>
      </c>
      <c r="Z65" s="91">
        <f t="shared" si="11"/>
        <v>0</v>
      </c>
      <c r="AA65" s="91">
        <f t="shared" si="12"/>
        <v>0.48479747364210318</v>
      </c>
    </row>
    <row r="67" spans="1:27">
      <c r="B67" s="104" t="s">
        <v>482</v>
      </c>
    </row>
    <row r="68" spans="1:27">
      <c r="A68" s="202" t="s">
        <v>457</v>
      </c>
      <c r="B68" s="202"/>
      <c r="C68" s="202"/>
      <c r="D68" s="202"/>
      <c r="E68" s="202"/>
      <c r="F68" s="202"/>
      <c r="G68" s="202"/>
      <c r="H68" s="202"/>
      <c r="I68" s="202"/>
      <c r="J68" s="202"/>
      <c r="K68" s="202"/>
      <c r="L68" s="202"/>
      <c r="M68" s="202"/>
      <c r="N68" s="202"/>
      <c r="O68" s="202"/>
    </row>
    <row r="69" spans="1:27" ht="18" customHeight="1">
      <c r="A69" s="203" t="s">
        <v>458</v>
      </c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</row>
    <row r="70" spans="1:27" ht="52.5" customHeight="1">
      <c r="A70" s="81" t="s">
        <v>459</v>
      </c>
      <c r="B70" s="81" t="s">
        <v>460</v>
      </c>
      <c r="C70" s="81" t="s">
        <v>396</v>
      </c>
      <c r="D70" s="81" t="s">
        <v>176</v>
      </c>
      <c r="E70" s="81" t="s">
        <v>461</v>
      </c>
      <c r="F70" s="81" t="s">
        <v>462</v>
      </c>
      <c r="G70" s="81" t="s">
        <v>463</v>
      </c>
      <c r="H70" s="81" t="s">
        <v>464</v>
      </c>
      <c r="I70" s="81" t="s">
        <v>465</v>
      </c>
      <c r="J70" s="81" t="s">
        <v>466</v>
      </c>
      <c r="K70" s="81" t="s">
        <v>467</v>
      </c>
      <c r="L70" s="81" t="s">
        <v>468</v>
      </c>
      <c r="M70" s="81" t="s">
        <v>469</v>
      </c>
      <c r="N70" s="81" t="s">
        <v>470</v>
      </c>
      <c r="O70" s="81" t="s">
        <v>471</v>
      </c>
    </row>
    <row r="71" spans="1:27" ht="18" customHeight="1">
      <c r="A71" s="85" t="s">
        <v>472</v>
      </c>
      <c r="B71" s="85" t="s">
        <v>409</v>
      </c>
      <c r="C71" s="85">
        <v>1</v>
      </c>
      <c r="D71" s="85">
        <v>4</v>
      </c>
      <c r="E71" s="185">
        <f>_xlfn.XLOOKUP(B71,$B$10:$B$65,$E$10:$E$65,0,0)</f>
        <v>18</v>
      </c>
      <c r="F71" s="191">
        <v>4</v>
      </c>
      <c r="G71" s="86">
        <f>IF(E71="","",PI()*E71^2/4)</f>
        <v>254.46900494077323</v>
      </c>
      <c r="H71" s="86">
        <f>IF(OR(G71="",F71=""),"",G71*F71)</f>
        <v>1017.8760197630929</v>
      </c>
      <c r="I71" s="87" t="s">
        <v>380</v>
      </c>
      <c r="J71" s="86">
        <f>IF(I71="1/2 in",$G$7,IF(I71="3/4 in",$H$7,IF(I71="1 in",$I$7,IF(I71="1-1/4 in",$J$7,IF(I71="1-1/2 in",$K$7,IF(I71="2 in",$L$7,IF(I71="2-1/2 in",$M$7,IF(I71="3 in",$N$7,IF(I71="3-1/2 in",$O$7,IF(I71="4 in",$P$7,""))))))))))</f>
        <v>230.19580346207698</v>
      </c>
      <c r="K71" s="70">
        <f>IF(F71="","",IF(F71=1,0.53,IF(F71=2,0.31,0.4)))</f>
        <v>0.4</v>
      </c>
      <c r="L71" s="70">
        <f>IF(OR(H71="",J71=""),"",H71/J71)</f>
        <v>4.4217835618831351</v>
      </c>
      <c r="M71" s="149" t="str">
        <f>IF(OR(L71="",K71=""),"",IF(L71&lt;=K71,"PASS","FAIL"))</f>
        <v>FAIL</v>
      </c>
      <c r="N71" s="88" t="str">
        <f>IF(M71="","REVIEW",IF(M71="PASS","USE / PASS","CHECK"))</f>
        <v>CHECK</v>
      </c>
      <c r="O71" s="84" t="s">
        <v>473</v>
      </c>
    </row>
    <row r="72" spans="1:27" ht="18" customHeight="1">
      <c r="A72" s="85" t="s">
        <v>474</v>
      </c>
      <c r="B72" s="85"/>
      <c r="C72" s="85">
        <v>1</v>
      </c>
      <c r="D72" s="85">
        <v>6</v>
      </c>
      <c r="E72" s="185">
        <f t="shared" ref="E72:E74" si="19">_xlfn.XLOOKUP(B72,$B$10:$B$65,$E$10:$E$65,0,0)</f>
        <v>0</v>
      </c>
      <c r="F72" s="191">
        <v>0</v>
      </c>
      <c r="G72" s="86">
        <f>IF(E72="","",PI()*E72^2/4)</f>
        <v>0</v>
      </c>
      <c r="H72" s="86">
        <f>IF(OR(G72="",F72=""),"",G72*F72)</f>
        <v>0</v>
      </c>
      <c r="I72" s="87" t="s">
        <v>380</v>
      </c>
      <c r="J72" s="86">
        <f>IF(I72="1/2 in",$G$7,IF(I72="3/4 in",$H$7,IF(I72="1 in",$I$7,IF(I72="1-1/4 in",$J$7,IF(I72="1-1/2 in",$K$7,IF(I72="2 in",$L$7,IF(I72="2-1/2 in",$M$7,IF(I72="3 in",$N$7,IF(I72="3-1/2 in",$O$7,IF(I72="4 in",$P$7,""))))))))))</f>
        <v>230.19580346207698</v>
      </c>
      <c r="K72" s="70">
        <f>IF(F72="","",IF(F72=1,0.53,IF(F72=2,0.31,0.4)))</f>
        <v>0.4</v>
      </c>
      <c r="L72" s="70">
        <f>IF(OR(H72="",J72=""),"",H72/J72)</f>
        <v>0</v>
      </c>
      <c r="M72" s="149" t="str">
        <f>IF(OR(L72="",K72=""),"",IF(L72&lt;=K72,"PASS","FAIL"))</f>
        <v>PASS</v>
      </c>
      <c r="N72" s="88" t="str">
        <f>IF(M72="","REVIEW",IF(M72="PASS","USE / PASS","CHECK"))</f>
        <v>USE / PASS</v>
      </c>
      <c r="O72" s="84" t="s">
        <v>473</v>
      </c>
    </row>
    <row r="73" spans="1:27" ht="18" customHeight="1">
      <c r="A73" s="85" t="s">
        <v>475</v>
      </c>
      <c r="B73" s="85"/>
      <c r="C73" s="85">
        <v>1</v>
      </c>
      <c r="D73" s="85">
        <v>10</v>
      </c>
      <c r="E73" s="185">
        <f t="shared" si="19"/>
        <v>0</v>
      </c>
      <c r="F73" s="191">
        <v>0</v>
      </c>
      <c r="G73" s="86">
        <f>IF(E73="","",PI()*E73^2/4)</f>
        <v>0</v>
      </c>
      <c r="H73" s="86">
        <f>IF(OR(G73="",F73=""),"",G73*F73)</f>
        <v>0</v>
      </c>
      <c r="I73" s="87" t="s">
        <v>381</v>
      </c>
      <c r="J73" s="86">
        <f>IF(I73="1/2 in",$G$7,IF(I73="3/4 in",$H$7,IF(I73="1 in",$I$7,IF(I73="1-1/4 in",$J$7,IF(I73="1-1/2 in",$K$7,IF(I73="2 in",$L$7,IF(I73="2-1/2 in",$M$7,IF(I73="3 in",$N$7,IF(I73="3-1/2 in",$O$7,IF(I73="4 in",$P$7,""))))))))))</f>
        <v>391.97305963647955</v>
      </c>
      <c r="K73" s="70">
        <f t="shared" ref="K73:K75" si="20">IF(F73="","",IF(F73=1,0.53,IF(F73=2,0.31,0.4)))</f>
        <v>0.4</v>
      </c>
      <c r="L73" s="70">
        <f>IF(OR(H73="",J73=""),"",H73/J73)</f>
        <v>0</v>
      </c>
      <c r="M73" s="149" t="str">
        <f>IF(OR(L73="",K73=""),"",IF(L73&lt;=K73,"PASS","FAIL"))</f>
        <v>PASS</v>
      </c>
      <c r="N73" s="88" t="str">
        <f>IF(M73="","REVIEW",IF(M73="PASS","USE / PASS","CHECK"))</f>
        <v>USE / PASS</v>
      </c>
      <c r="O73" s="84" t="s">
        <v>473</v>
      </c>
    </row>
    <row r="74" spans="1:27" ht="18" customHeight="1">
      <c r="A74" s="85" t="s">
        <v>476</v>
      </c>
      <c r="B74" s="85"/>
      <c r="C74" s="85">
        <v>2</v>
      </c>
      <c r="D74" s="85">
        <v>16</v>
      </c>
      <c r="E74" s="185">
        <f t="shared" si="19"/>
        <v>0</v>
      </c>
      <c r="F74" s="191">
        <v>0</v>
      </c>
      <c r="G74" s="86">
        <f>IF(E74="","",PI()*E74^2/4)</f>
        <v>0</v>
      </c>
      <c r="H74" s="86">
        <f>IF(OR(G74="",F74=""),"",G74*F74)</f>
        <v>0</v>
      </c>
      <c r="I74" s="87" t="s">
        <v>382</v>
      </c>
      <c r="J74" s="86">
        <f>IF(I74="1/2 in",$G$7,IF(I74="3/4 in",$H$7,IF(I74="1 in",$I$7,IF(I74="1-1/4 in",$J$7,IF(I74="1-1/2 in",$K$7,IF(I74="2 in",$L$7,IF(I74="2-1/2 in",$M$7,IF(I74="3 in",$N$7,IF(I74="3-1/2 in",$O$7,IF(I74="4 in",$P$7,""))))))))))</f>
        <v>635.70323694930323</v>
      </c>
      <c r="K74" s="70">
        <f t="shared" si="20"/>
        <v>0.4</v>
      </c>
      <c r="L74" s="70">
        <f>IF(OR(H74="",J74=""),"",H74/J74)</f>
        <v>0</v>
      </c>
      <c r="M74" s="149" t="str">
        <f>IF(OR(L74="",K74=""),"",IF(L74&lt;=K74,"PASS","FAIL"))</f>
        <v>PASS</v>
      </c>
      <c r="N74" s="88" t="str">
        <f>IF(M74="","REVIEW",IF(M74="PASS","USE / PASS","CHECK"))</f>
        <v>USE / PASS</v>
      </c>
      <c r="O74" s="84" t="s">
        <v>477</v>
      </c>
    </row>
    <row r="75" spans="1:27" ht="18" customHeight="1">
      <c r="A75" s="85" t="s">
        <v>478</v>
      </c>
      <c r="B75" s="190" t="s">
        <v>731</v>
      </c>
      <c r="C75" s="85">
        <v>1</v>
      </c>
      <c r="D75" s="85">
        <v>25</v>
      </c>
      <c r="E75" s="185">
        <v>12.8</v>
      </c>
      <c r="F75" s="191">
        <v>1</v>
      </c>
      <c r="G75" s="86">
        <f>IF(E75="","",PI()*E75^2/4)</f>
        <v>128.67963509103794</v>
      </c>
      <c r="H75" s="86">
        <f>IF(OR(G75="",F75=""),"",G75*F75)</f>
        <v>128.67963509103794</v>
      </c>
      <c r="I75" s="87" t="s">
        <v>382</v>
      </c>
      <c r="J75" s="86">
        <f>IF(I75="1/2 in",$G$7,IF(I75="3/4 in",$H$7,IF(I75="1 in",$I$7,IF(I75="1-1/4 in",$J$7,IF(I75="1-1/2 in",$K$7,IF(I75="2 in",$L$7,IF(I75="2-1/2 in",$M$7,IF(I75="3 in",$N$7,IF(I75="3-1/2 in",$O$7,IF(I75="4 in",$P$7,""))))))))))</f>
        <v>635.70323694930323</v>
      </c>
      <c r="K75" s="70">
        <f t="shared" si="20"/>
        <v>0.53</v>
      </c>
      <c r="L75" s="70">
        <f>IF(OR(H75="",J75=""),"",H75/J75)</f>
        <v>0.20242092160575237</v>
      </c>
      <c r="M75" s="149" t="str">
        <f>IF(OR(L75="",K75=""),"",IF(L75&lt;=K75,"PASS","FAIL"))</f>
        <v>PASS</v>
      </c>
      <c r="N75" s="88" t="str">
        <f>IF(M75="","REVIEW",IF(M75="PASS","USE / PASS","CHECK"))</f>
        <v>USE / PASS</v>
      </c>
      <c r="O75" s="84" t="s">
        <v>479</v>
      </c>
    </row>
    <row r="76" spans="1:27" ht="41.4">
      <c r="A76" s="155" t="s">
        <v>480</v>
      </c>
      <c r="B76" s="155"/>
      <c r="C76" s="155"/>
      <c r="D76" s="155"/>
      <c r="E76" s="155"/>
      <c r="F76" s="181">
        <f>SUM(F71:F75)</f>
        <v>5</v>
      </c>
      <c r="G76" s="153"/>
      <c r="H76" s="154">
        <f>SUM(H71:H75)</f>
        <v>1146.5556548541308</v>
      </c>
      <c r="I76" s="155"/>
      <c r="J76" s="155"/>
      <c r="K76" s="156"/>
      <c r="L76" s="155"/>
      <c r="M76" s="155" t="s">
        <v>481</v>
      </c>
      <c r="N76" s="155"/>
      <c r="O76" s="155"/>
    </row>
    <row r="77" spans="1:27">
      <c r="A77" s="204" t="s">
        <v>483</v>
      </c>
      <c r="B77" s="204"/>
      <c r="C77" s="204"/>
      <c r="D77" s="204"/>
      <c r="E77" s="204"/>
      <c r="F77" s="204"/>
      <c r="G77" s="204"/>
      <c r="H77" s="204"/>
      <c r="I77" s="204"/>
      <c r="J77" s="204"/>
      <c r="K77" s="204"/>
    </row>
    <row r="78" spans="1:27" ht="15.6">
      <c r="A78" s="193" t="s">
        <v>484</v>
      </c>
      <c r="B78" s="193"/>
      <c r="C78" s="193"/>
      <c r="D78" s="193"/>
      <c r="E78" s="193"/>
      <c r="F78" s="193"/>
      <c r="G78" s="193"/>
      <c r="H78" s="193"/>
      <c r="I78" s="193"/>
      <c r="J78" s="193"/>
      <c r="K78" s="193"/>
    </row>
    <row r="79" spans="1:27" ht="54.75" customHeight="1">
      <c r="A79" s="72" t="s">
        <v>485</v>
      </c>
      <c r="B79" s="72" t="s">
        <v>464</v>
      </c>
      <c r="C79" s="72" t="s">
        <v>486</v>
      </c>
      <c r="D79" s="72" t="s">
        <v>487</v>
      </c>
      <c r="E79" s="72" t="s">
        <v>488</v>
      </c>
      <c r="F79" s="72" t="s">
        <v>489</v>
      </c>
      <c r="G79" s="72" t="s">
        <v>490</v>
      </c>
      <c r="H79" s="72" t="s">
        <v>491</v>
      </c>
    </row>
    <row r="80" spans="1:27" ht="26.4">
      <c r="A80" s="182">
        <f>SUM(F71:F75)</f>
        <v>5</v>
      </c>
      <c r="B80" s="120">
        <f>SUM(H71:H75)</f>
        <v>1146.5556548541308</v>
      </c>
      <c r="C80" s="123">
        <f>IF(A80=0,"",IF(A80=1,0.53,IF(A80=2,0.31,0.4)))</f>
        <v>0.4</v>
      </c>
      <c r="D80" s="119">
        <f>IF(OR(B80="",C80=""),"",B80/C80)</f>
        <v>2866.389137135327</v>
      </c>
      <c r="E80" s="121" t="str">
        <f>IFERROR(INDEX($A$82:$A$91,MATCH("PASS",$F$82:$F$91,0)),"MULTIPLE / REVIEW")</f>
        <v>2-1/2 in</v>
      </c>
      <c r="F80" s="122">
        <f>IFERROR(INDEX($E$82:$E$91,MATCH("PASS",$F$82:$F$91,0)),"")</f>
        <v>0.34089346668181086</v>
      </c>
      <c r="G80" s="88" t="str">
        <f>IF(E80="MULTIPLE / REVIEW","MULTIPLE / REVIEW","PASS")</f>
        <v>PASS</v>
      </c>
      <c r="H80" s="71" t="str">
        <f>IF(E80="MULTIPLE / REVIEW","Use parallel conduits per table below","Single conduit passes")</f>
        <v>Single conduit passes</v>
      </c>
    </row>
    <row r="81" spans="1:9" ht="35.1" customHeight="1">
      <c r="A81" s="72" t="s">
        <v>465</v>
      </c>
      <c r="B81" s="72" t="s">
        <v>393</v>
      </c>
      <c r="C81" s="72" t="s">
        <v>485</v>
      </c>
      <c r="D81" s="72" t="s">
        <v>492</v>
      </c>
      <c r="E81" s="72" t="s">
        <v>489</v>
      </c>
      <c r="F81" s="72" t="s">
        <v>493</v>
      </c>
      <c r="G81" s="72" t="s">
        <v>494</v>
      </c>
      <c r="H81" s="72" t="s">
        <v>495</v>
      </c>
      <c r="I81" s="72" t="s">
        <v>496</v>
      </c>
    </row>
    <row r="82" spans="1:9" ht="26.4">
      <c r="A82" s="94" t="str">
        <f>G$5</f>
        <v>1/2 in</v>
      </c>
      <c r="B82" s="93">
        <f>G$7</f>
        <v>230.19580346207698</v>
      </c>
      <c r="C82" s="83">
        <f>$A$80</f>
        <v>5</v>
      </c>
      <c r="D82" s="82">
        <f>$C$80</f>
        <v>0.4</v>
      </c>
      <c r="E82" s="82">
        <f>IFERROR($B$80/B82,"")</f>
        <v>4.9807843479779912</v>
      </c>
      <c r="F82" s="149" t="str">
        <f t="shared" ref="F82:F91" si="21">IF(E82&lt;=D82,"PASS","FAIL")</f>
        <v>FAIL</v>
      </c>
      <c r="G82" s="83">
        <f>MAX(1,ROUNDUP($B$80/(B82*$C$80),0))</f>
        <v>13</v>
      </c>
      <c r="H82" s="82">
        <f>IFERROR($B$80/(B82*G82),"")</f>
        <v>0.38313725753676853</v>
      </c>
      <c r="I82" s="71" t="str">
        <f>IF(H82&lt;=D82,IF(G82=1,"Single conduit passes",G82&amp;" parallel conduits"),"CHECK")</f>
        <v>13 parallel conduits</v>
      </c>
    </row>
    <row r="83" spans="1:9" ht="26.4">
      <c r="A83" s="94" t="str">
        <f>H$5</f>
        <v>3/4 in</v>
      </c>
      <c r="B83" s="93">
        <f>H$7</f>
        <v>391.97305963647955</v>
      </c>
      <c r="C83" s="83">
        <f t="shared" ref="C83:C91" si="22">$A$80</f>
        <v>5</v>
      </c>
      <c r="D83" s="82">
        <f t="shared" ref="D83:D91" si="23">$C$80</f>
        <v>0.4</v>
      </c>
      <c r="E83" s="82">
        <f t="shared" ref="E83:E91" si="24">IFERROR($B$80/B83,"")</f>
        <v>2.9250879025141678</v>
      </c>
      <c r="F83" s="149" t="str">
        <f t="shared" si="21"/>
        <v>FAIL</v>
      </c>
      <c r="G83" s="83">
        <f t="shared" ref="G83:G91" si="25">MAX(1,ROUNDUP($B$80/(B83*$C$80),0))</f>
        <v>8</v>
      </c>
      <c r="H83" s="82">
        <f t="shared" ref="H83:H91" si="26">IFERROR($B$80/(B83*G83),"")</f>
        <v>0.36563598781427098</v>
      </c>
      <c r="I83" s="71" t="str">
        <f t="shared" ref="I83:I91" si="27">IF(H83&lt;=D83,IF(G83=1,"Single conduit passes",G83&amp;" parallel conduits"),"CHECK")</f>
        <v>8 parallel conduits</v>
      </c>
    </row>
    <row r="84" spans="1:9" ht="26.4">
      <c r="A84" s="94" t="str">
        <f>I$5</f>
        <v>1 in</v>
      </c>
      <c r="B84" s="93">
        <f>I$7</f>
        <v>635.70323694930323</v>
      </c>
      <c r="C84" s="83">
        <f t="shared" si="22"/>
        <v>5</v>
      </c>
      <c r="D84" s="82">
        <f t="shared" si="23"/>
        <v>0.4</v>
      </c>
      <c r="E84" s="82">
        <f t="shared" si="24"/>
        <v>1.8036020397762542</v>
      </c>
      <c r="F84" s="149" t="str">
        <f t="shared" si="21"/>
        <v>FAIL</v>
      </c>
      <c r="G84" s="83">
        <f t="shared" si="25"/>
        <v>5</v>
      </c>
      <c r="H84" s="82">
        <f t="shared" si="26"/>
        <v>0.36072040795525084</v>
      </c>
      <c r="I84" s="71" t="str">
        <f t="shared" si="27"/>
        <v>5 parallel conduits</v>
      </c>
    </row>
    <row r="85" spans="1:9" ht="26.4">
      <c r="A85" s="94" t="str">
        <f>J$5</f>
        <v>1-1/4 in</v>
      </c>
      <c r="B85" s="93">
        <f>J$7</f>
        <v>1090.9595965218996</v>
      </c>
      <c r="C85" s="83">
        <f t="shared" si="22"/>
        <v>5</v>
      </c>
      <c r="D85" s="82">
        <f t="shared" si="23"/>
        <v>0.4</v>
      </c>
      <c r="E85" s="82">
        <f t="shared" si="24"/>
        <v>1.0509606941535485</v>
      </c>
      <c r="F85" s="149" t="str">
        <f t="shared" si="21"/>
        <v>FAIL</v>
      </c>
      <c r="G85" s="83">
        <f t="shared" si="25"/>
        <v>3</v>
      </c>
      <c r="H85" s="82">
        <f t="shared" si="26"/>
        <v>0.35032023138451618</v>
      </c>
      <c r="I85" s="71" t="str">
        <f t="shared" si="27"/>
        <v>3 parallel conduits</v>
      </c>
    </row>
    <row r="86" spans="1:9" ht="26.4">
      <c r="A86" s="94" t="str">
        <f>K$5</f>
        <v>1-1/2 in</v>
      </c>
      <c r="B86" s="93">
        <f>K$7</f>
        <v>1467.7779273567273</v>
      </c>
      <c r="C86" s="83">
        <f t="shared" si="22"/>
        <v>5</v>
      </c>
      <c r="D86" s="82">
        <f t="shared" si="23"/>
        <v>0.4</v>
      </c>
      <c r="E86" s="82">
        <f t="shared" si="24"/>
        <v>0.78115063149840724</v>
      </c>
      <c r="F86" s="149" t="str">
        <f t="shared" si="21"/>
        <v>FAIL</v>
      </c>
      <c r="G86" s="83">
        <f t="shared" si="25"/>
        <v>2</v>
      </c>
      <c r="H86" s="82">
        <f t="shared" si="26"/>
        <v>0.39057531574920362</v>
      </c>
      <c r="I86" s="71" t="str">
        <f t="shared" si="27"/>
        <v>2 parallel conduits</v>
      </c>
    </row>
    <row r="87" spans="1:9" ht="26.4">
      <c r="A87" s="94" t="str">
        <f>L$5</f>
        <v>2 in</v>
      </c>
      <c r="B87" s="93">
        <f>L$7</f>
        <v>2385.3422653721673</v>
      </c>
      <c r="C87" s="83">
        <f t="shared" si="22"/>
        <v>5</v>
      </c>
      <c r="D87" s="82">
        <f t="shared" si="23"/>
        <v>0.4</v>
      </c>
      <c r="E87" s="82">
        <f t="shared" si="24"/>
        <v>0.48066714429144708</v>
      </c>
      <c r="F87" s="149" t="str">
        <f t="shared" si="21"/>
        <v>FAIL</v>
      </c>
      <c r="G87" s="83">
        <f t="shared" si="25"/>
        <v>2</v>
      </c>
      <c r="H87" s="82">
        <f t="shared" si="26"/>
        <v>0.24033357214572354</v>
      </c>
      <c r="I87" s="71" t="str">
        <f t="shared" si="27"/>
        <v>2 parallel conduits</v>
      </c>
    </row>
    <row r="88" spans="1:9" ht="26.4">
      <c r="A88" s="94" t="str">
        <f>M$5</f>
        <v>2-1/2 in</v>
      </c>
      <c r="B88" s="93">
        <f>M$7</f>
        <v>3363.3840683849862</v>
      </c>
      <c r="C88" s="83">
        <f t="shared" si="22"/>
        <v>5</v>
      </c>
      <c r="D88" s="82">
        <f t="shared" si="23"/>
        <v>0.4</v>
      </c>
      <c r="E88" s="82">
        <f t="shared" si="24"/>
        <v>0.34089346668181086</v>
      </c>
      <c r="F88" s="149" t="str">
        <f t="shared" si="21"/>
        <v>PASS</v>
      </c>
      <c r="G88" s="83">
        <f t="shared" si="25"/>
        <v>1</v>
      </c>
      <c r="H88" s="82">
        <f t="shared" si="26"/>
        <v>0.34089346668181086</v>
      </c>
      <c r="I88" s="71" t="str">
        <f t="shared" si="27"/>
        <v>Single conduit passes</v>
      </c>
    </row>
    <row r="89" spans="1:9" ht="26.4">
      <c r="A89" s="94" t="str">
        <f>N$5</f>
        <v>3 in</v>
      </c>
      <c r="B89" s="93">
        <f>N$7</f>
        <v>5174.6499134775459</v>
      </c>
      <c r="C89" s="83">
        <f t="shared" si="22"/>
        <v>5</v>
      </c>
      <c r="D89" s="82">
        <f t="shared" si="23"/>
        <v>0.4</v>
      </c>
      <c r="E89" s="82">
        <f t="shared" si="24"/>
        <v>0.22157163750689471</v>
      </c>
      <c r="F89" s="149" t="str">
        <f t="shared" si="21"/>
        <v>PASS</v>
      </c>
      <c r="G89" s="83">
        <f t="shared" si="25"/>
        <v>1</v>
      </c>
      <c r="H89" s="82">
        <f t="shared" si="26"/>
        <v>0.22157163750689471</v>
      </c>
      <c r="I89" s="71" t="str">
        <f t="shared" si="27"/>
        <v>Single conduit passes</v>
      </c>
    </row>
    <row r="90" spans="1:9" ht="26.4">
      <c r="A90" s="94" t="str">
        <f>O$5</f>
        <v>3-1/2 in</v>
      </c>
      <c r="B90" s="93">
        <f>O$7</f>
        <v>6901.4410024688304</v>
      </c>
      <c r="C90" s="83">
        <f t="shared" si="22"/>
        <v>5</v>
      </c>
      <c r="D90" s="82">
        <f t="shared" si="23"/>
        <v>0.4</v>
      </c>
      <c r="E90" s="82">
        <f t="shared" si="24"/>
        <v>0.16613279088294416</v>
      </c>
      <c r="F90" s="149" t="str">
        <f t="shared" si="21"/>
        <v>PASS</v>
      </c>
      <c r="G90" s="83">
        <f t="shared" si="25"/>
        <v>1</v>
      </c>
      <c r="H90" s="82">
        <f t="shared" si="26"/>
        <v>0.16613279088294416</v>
      </c>
      <c r="I90" s="71" t="str">
        <f t="shared" si="27"/>
        <v>Single conduit passes</v>
      </c>
    </row>
    <row r="91" spans="1:9" ht="26.4">
      <c r="A91" s="94" t="str">
        <f>P$5</f>
        <v>4 in</v>
      </c>
      <c r="B91" s="93">
        <f>P$7</f>
        <v>8871.4165741290126</v>
      </c>
      <c r="C91" s="83">
        <f t="shared" si="22"/>
        <v>5</v>
      </c>
      <c r="D91" s="82">
        <f t="shared" si="23"/>
        <v>0.4</v>
      </c>
      <c r="E91" s="82">
        <f t="shared" si="24"/>
        <v>0.12924155294406278</v>
      </c>
      <c r="F91" s="149" t="str">
        <f t="shared" si="21"/>
        <v>PASS</v>
      </c>
      <c r="G91" s="83">
        <f t="shared" si="25"/>
        <v>1</v>
      </c>
      <c r="H91" s="82">
        <f t="shared" si="26"/>
        <v>0.12924155294406278</v>
      </c>
      <c r="I91" s="71" t="str">
        <f t="shared" si="27"/>
        <v>Single conduit passes</v>
      </c>
    </row>
    <row r="99" spans="10:12">
      <c r="J99" t="s">
        <v>726</v>
      </c>
      <c r="L99">
        <v>26.6</v>
      </c>
    </row>
    <row r="100" spans="10:12">
      <c r="J100" t="s">
        <v>727</v>
      </c>
      <c r="L100">
        <v>23.3</v>
      </c>
    </row>
    <row r="101" spans="10:12">
      <c r="J101" t="s">
        <v>728</v>
      </c>
      <c r="L101">
        <v>18.8</v>
      </c>
    </row>
    <row r="102" spans="10:12">
      <c r="J102" t="s">
        <v>729</v>
      </c>
      <c r="L102">
        <v>17.100000000000001</v>
      </c>
    </row>
    <row r="103" spans="10:12">
      <c r="J103" t="s">
        <v>730</v>
      </c>
      <c r="L103">
        <v>14.6</v>
      </c>
    </row>
    <row r="104" spans="10:12">
      <c r="J104" s="192" t="s">
        <v>731</v>
      </c>
      <c r="K104" s="192"/>
      <c r="L104" s="192">
        <v>12.8</v>
      </c>
    </row>
    <row r="105" spans="10:12">
      <c r="J105" t="s">
        <v>732</v>
      </c>
      <c r="L105">
        <v>10.9</v>
      </c>
    </row>
    <row r="106" spans="10:12">
      <c r="J106" t="s">
        <v>733</v>
      </c>
      <c r="L106">
        <v>9.6999999999999993</v>
      </c>
    </row>
    <row r="107" spans="10:12">
      <c r="J107" t="s">
        <v>734</v>
      </c>
      <c r="L107">
        <v>7.8</v>
      </c>
    </row>
    <row r="108" spans="10:12">
      <c r="J108" t="s">
        <v>735</v>
      </c>
      <c r="L108">
        <v>6.7</v>
      </c>
    </row>
    <row r="109" spans="10:12">
      <c r="J109" t="s">
        <v>736</v>
      </c>
      <c r="L109">
        <v>5.2</v>
      </c>
    </row>
  </sheetData>
  <autoFilter ref="A67:O91" xr:uid="{00000000-0001-0000-0600-000000000000}"/>
  <mergeCells count="12">
    <mergeCell ref="Q5:AA5"/>
    <mergeCell ref="A68:O68"/>
    <mergeCell ref="A69:O69"/>
    <mergeCell ref="A7:F7"/>
    <mergeCell ref="A77:K77"/>
    <mergeCell ref="A78:K78"/>
    <mergeCell ref="A4:P4"/>
    <mergeCell ref="A1:P1"/>
    <mergeCell ref="A2:P2"/>
    <mergeCell ref="A3:P3"/>
    <mergeCell ref="A5:F5"/>
    <mergeCell ref="A6:F6"/>
  </mergeCells>
  <conditionalFormatting sqref="F82:F91">
    <cfRule type="cellIs" dxfId="134" priority="1" operator="equal">
      <formula>"PASS"</formula>
    </cfRule>
    <cfRule type="cellIs" dxfId="133" priority="2" operator="equal">
      <formula>"FAIL"</formula>
    </cfRule>
    <cfRule type="containsText" dxfId="132" priority="3" operator="containsText" text="PASS"/>
    <cfRule type="containsText" dxfId="131" priority="4" operator="containsText" text="FAIL"/>
    <cfRule type="containsText" dxfId="130" priority="5" operator="containsText" text="CHECK"/>
    <cfRule type="containsText" dxfId="129" priority="6" operator="containsText" text="NOT PERMITTED"/>
  </conditionalFormatting>
  <conditionalFormatting sqref="F82:I91">
    <cfRule type="containsText" dxfId="128" priority="7" operator="containsText" text="PASS"/>
    <cfRule type="containsText" dxfId="127" priority="8" operator="containsText" text="FAIL"/>
    <cfRule type="containsText" dxfId="126" priority="9" operator="containsText" text="CHECK"/>
  </conditionalFormatting>
  <conditionalFormatting sqref="G80">
    <cfRule type="cellIs" dxfId="125" priority="10" operator="equal">
      <formula>"PASS"</formula>
    </cfRule>
    <cfRule type="cellIs" dxfId="124" priority="11" operator="equal">
      <formula>"FAIL"</formula>
    </cfRule>
    <cfRule type="containsText" dxfId="123" priority="12" operator="containsText" text="PASS"/>
    <cfRule type="containsText" dxfId="122" priority="13" operator="containsText" text="FAIL"/>
    <cfRule type="containsText" dxfId="121" priority="14" operator="containsText" text="CHECK"/>
    <cfRule type="containsText" dxfId="120" priority="15" operator="containsText" text="NOT PERMITTED"/>
  </conditionalFormatting>
  <conditionalFormatting sqref="G80:H80">
    <cfRule type="containsText" dxfId="119" priority="16" operator="containsText" text="PASS"/>
    <cfRule type="containsText" dxfId="118" priority="17" operator="containsText" text="FAIL"/>
    <cfRule type="containsText" dxfId="117" priority="18" operator="containsText" text="CHECK"/>
  </conditionalFormatting>
  <conditionalFormatting sqref="M71:M75">
    <cfRule type="cellIs" dxfId="116" priority="20" operator="equal">
      <formula>"PASS"</formula>
    </cfRule>
    <cfRule type="cellIs" dxfId="115" priority="21" operator="equal">
      <formula>"FAIL"</formula>
    </cfRule>
    <cfRule type="containsText" dxfId="114" priority="23" operator="containsText" text="FAIL"/>
    <cfRule type="containsText" dxfId="113" priority="24" operator="containsText" text="CHECK"/>
  </conditionalFormatting>
  <conditionalFormatting sqref="M71:N75">
    <cfRule type="containsText" dxfId="112" priority="22" operator="containsText" text="PASS"/>
    <cfRule type="containsText" dxfId="111" priority="25" operator="containsText" text="NOT PERMITTED"/>
  </conditionalFormatting>
  <conditionalFormatting sqref="M71:N76">
    <cfRule type="containsText" dxfId="110" priority="32" operator="containsText" text="PASS"/>
    <cfRule type="containsText" dxfId="109" priority="33" operator="containsText" text="FAIL"/>
    <cfRule type="containsText" dxfId="108" priority="34" operator="containsText" text="CHECK"/>
  </conditionalFormatting>
  <conditionalFormatting sqref="N71:N75">
    <cfRule type="containsText" dxfId="107" priority="29" operator="containsText" text="CHECK"/>
    <cfRule type="containsText" dxfId="106" priority="31" operator="containsText" text="NOT PERMITTED"/>
  </conditionalFormatting>
  <conditionalFormatting sqref="R10:AA65">
    <cfRule type="colorScale" priority="19">
      <colorScale>
        <cfvo type="min"/>
        <cfvo type="max"/>
        <color rgb="FFFCFCFF"/>
        <color rgb="FF63BE7B"/>
      </colorScale>
    </cfRule>
  </conditionalFormatting>
  <dataValidations count="3">
    <dataValidation type="list" sqref="I71:I75" xr:uid="{00000000-0002-0000-0600-000000000000}">
      <formula1>"1/2 in,3/4 in,1 in,1-1/4 in,1-1/2 in,2 in,2-1/2 in,3 in,3-1/2 in,4 in"</formula1>
    </dataValidation>
    <dataValidation type="whole" operator="greaterThanOrEqual" sqref="F71:F75" xr:uid="{00000000-0002-0000-0600-000001000000}">
      <formula1>1</formula1>
    </dataValidation>
    <dataValidation type="list" allowBlank="1" showInputMessage="1" showErrorMessage="1" sqref="B71:B74" xr:uid="{3CBDADFF-33C0-4F35-8F15-94ED378F131E}">
      <formula1>$B$10:$B$65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rgb="FF00B0F0"/>
  </sheetPr>
  <dimension ref="A1:AA86"/>
  <sheetViews>
    <sheetView showGridLines="0" topLeftCell="A74" zoomScale="70" zoomScaleNormal="70" workbookViewId="0">
      <selection activeCell="E67" sqref="E67"/>
    </sheetView>
  </sheetViews>
  <sheetFormatPr defaultRowHeight="13.8"/>
  <cols>
    <col min="1" max="1" width="18" customWidth="1"/>
    <col min="2" max="2" width="34" customWidth="1"/>
    <col min="3" max="3" width="10" customWidth="1"/>
    <col min="4" max="5" width="13" customWidth="1"/>
    <col min="6" max="6" width="11" customWidth="1"/>
    <col min="7" max="7" width="10" customWidth="1"/>
    <col min="8" max="8" width="18" customWidth="1"/>
    <col min="9" max="10" width="16" customWidth="1"/>
    <col min="11" max="11" width="15" customWidth="1"/>
    <col min="12" max="12" width="24" customWidth="1"/>
    <col min="13" max="13" width="16" customWidth="1"/>
    <col min="14" max="14" width="17.59765625" customWidth="1"/>
    <col min="15" max="15" width="17.8984375" customWidth="1"/>
    <col min="16" max="17" width="0" hidden="1" customWidth="1"/>
    <col min="18" max="18" width="34" hidden="1" customWidth="1"/>
    <col min="19" max="27" width="11" customWidth="1"/>
  </cols>
  <sheetData>
    <row r="1" spans="1:27" ht="27.9" customHeight="1">
      <c r="A1" s="196" t="s">
        <v>497</v>
      </c>
      <c r="B1" s="196" t="s">
        <v>497</v>
      </c>
      <c r="C1" s="196" t="s">
        <v>497</v>
      </c>
      <c r="D1" s="196" t="s">
        <v>497</v>
      </c>
      <c r="E1" s="196" t="s">
        <v>497</v>
      </c>
      <c r="F1" s="196" t="s">
        <v>497</v>
      </c>
      <c r="G1" s="196" t="s">
        <v>497</v>
      </c>
      <c r="H1" s="196" t="s">
        <v>497</v>
      </c>
      <c r="I1" s="196" t="s">
        <v>497</v>
      </c>
      <c r="J1" s="196" t="s">
        <v>497</v>
      </c>
      <c r="K1" s="196" t="s">
        <v>497</v>
      </c>
      <c r="L1" s="196" t="s">
        <v>497</v>
      </c>
      <c r="M1" s="196" t="s">
        <v>497</v>
      </c>
      <c r="N1" s="196" t="s">
        <v>497</v>
      </c>
      <c r="O1" s="196" t="s">
        <v>497</v>
      </c>
    </row>
    <row r="2" spans="1:27">
      <c r="A2" s="213" t="s">
        <v>498</v>
      </c>
      <c r="B2" s="213" t="s">
        <v>498</v>
      </c>
      <c r="C2" s="213" t="s">
        <v>498</v>
      </c>
      <c r="D2" s="213" t="s">
        <v>498</v>
      </c>
      <c r="E2" s="213" t="s">
        <v>498</v>
      </c>
      <c r="F2" s="213" t="s">
        <v>498</v>
      </c>
      <c r="G2" s="213" t="s">
        <v>498</v>
      </c>
      <c r="H2" s="213" t="s">
        <v>498</v>
      </c>
      <c r="I2" s="213" t="s">
        <v>498</v>
      </c>
      <c r="J2" s="213" t="s">
        <v>498</v>
      </c>
      <c r="K2" s="213" t="s">
        <v>498</v>
      </c>
      <c r="L2" s="213" t="s">
        <v>498</v>
      </c>
      <c r="M2" s="213" t="s">
        <v>498</v>
      </c>
      <c r="N2" s="213" t="s">
        <v>498</v>
      </c>
      <c r="O2" s="213" t="s">
        <v>498</v>
      </c>
    </row>
    <row r="3" spans="1:27">
      <c r="A3" s="214" t="s">
        <v>499</v>
      </c>
      <c r="B3" s="214" t="s">
        <v>499</v>
      </c>
      <c r="C3" s="214" t="s">
        <v>499</v>
      </c>
      <c r="D3" s="214" t="s">
        <v>499</v>
      </c>
      <c r="E3" s="214" t="s">
        <v>499</v>
      </c>
      <c r="F3" s="214" t="s">
        <v>499</v>
      </c>
      <c r="G3" s="214" t="s">
        <v>499</v>
      </c>
      <c r="H3" s="214" t="s">
        <v>499</v>
      </c>
      <c r="I3" s="214" t="s">
        <v>499</v>
      </c>
      <c r="J3" s="214" t="s">
        <v>499</v>
      </c>
      <c r="K3" s="214" t="s">
        <v>499</v>
      </c>
      <c r="L3" s="214" t="s">
        <v>499</v>
      </c>
      <c r="M3" s="214" t="s">
        <v>499</v>
      </c>
      <c r="N3" s="214" t="s">
        <v>499</v>
      </c>
      <c r="O3" s="214" t="s">
        <v>499</v>
      </c>
    </row>
    <row r="4" spans="1:27">
      <c r="A4" s="215" t="s">
        <v>500</v>
      </c>
      <c r="B4" s="215" t="s">
        <v>500</v>
      </c>
      <c r="C4" s="215" t="s">
        <v>500</v>
      </c>
      <c r="D4" s="215" t="s">
        <v>500</v>
      </c>
      <c r="E4" s="215" t="s">
        <v>500</v>
      </c>
      <c r="F4" s="215" t="s">
        <v>500</v>
      </c>
      <c r="G4" s="136">
        <v>200</v>
      </c>
      <c r="H4" s="136">
        <v>300</v>
      </c>
      <c r="I4" s="136">
        <v>400</v>
      </c>
      <c r="J4" s="136">
        <v>500</v>
      </c>
      <c r="K4" s="136">
        <v>600</v>
      </c>
      <c r="L4" s="136">
        <v>700</v>
      </c>
      <c r="M4" s="136">
        <v>800</v>
      </c>
      <c r="N4" s="136">
        <v>900</v>
      </c>
      <c r="O4" s="136">
        <v>1000</v>
      </c>
      <c r="R4" s="216" t="s">
        <v>501</v>
      </c>
      <c r="S4" s="216"/>
      <c r="T4" s="216"/>
      <c r="U4" s="216"/>
      <c r="V4" s="216"/>
      <c r="W4" s="216"/>
      <c r="X4" s="216"/>
      <c r="Y4" s="216"/>
      <c r="Z4" s="216"/>
      <c r="AA4" s="216"/>
    </row>
    <row r="5" spans="1:27" ht="35.1" customHeight="1">
      <c r="A5" s="41" t="s">
        <v>394</v>
      </c>
      <c r="B5" s="41" t="s">
        <v>395</v>
      </c>
      <c r="C5" s="41" t="s">
        <v>502</v>
      </c>
      <c r="D5" s="41" t="s">
        <v>397</v>
      </c>
      <c r="E5" s="41" t="s">
        <v>398</v>
      </c>
      <c r="F5" s="41" t="s">
        <v>503</v>
      </c>
      <c r="G5" s="41" t="s">
        <v>504</v>
      </c>
      <c r="H5" s="41" t="s">
        <v>505</v>
      </c>
      <c r="I5" s="41" t="s">
        <v>506</v>
      </c>
      <c r="J5" s="41" t="s">
        <v>507</v>
      </c>
      <c r="K5" s="41" t="s">
        <v>508</v>
      </c>
      <c r="L5" s="41" t="s">
        <v>509</v>
      </c>
      <c r="M5" s="41" t="s">
        <v>510</v>
      </c>
      <c r="N5" s="41" t="s">
        <v>511</v>
      </c>
      <c r="O5" s="41" t="s">
        <v>512</v>
      </c>
      <c r="R5" s="128" t="s">
        <v>400</v>
      </c>
      <c r="S5" s="138" t="s">
        <v>504</v>
      </c>
      <c r="T5" s="138" t="s">
        <v>505</v>
      </c>
      <c r="U5" s="138" t="s">
        <v>506</v>
      </c>
      <c r="V5" s="138" t="s">
        <v>507</v>
      </c>
      <c r="W5" s="138" t="s">
        <v>508</v>
      </c>
      <c r="X5" s="138" t="s">
        <v>509</v>
      </c>
      <c r="Y5" s="138" t="s">
        <v>510</v>
      </c>
      <c r="Z5" s="138" t="s">
        <v>511</v>
      </c>
      <c r="AA5" s="138" t="s">
        <v>512</v>
      </c>
    </row>
    <row r="6" spans="1:27" ht="26.1" customHeight="1">
      <c r="A6" s="96" t="s">
        <v>404</v>
      </c>
      <c r="B6" s="96" t="s">
        <v>513</v>
      </c>
      <c r="C6" s="96">
        <v>1</v>
      </c>
      <c r="D6" s="97">
        <v>10</v>
      </c>
      <c r="E6" s="109">
        <v>10</v>
      </c>
      <c r="F6" s="96" t="s">
        <v>514</v>
      </c>
      <c r="G6" s="140">
        <f>0</f>
        <v>0</v>
      </c>
      <c r="H6" s="140">
        <f>0</f>
        <v>0</v>
      </c>
      <c r="I6" s="140">
        <f>0</f>
        <v>0</v>
      </c>
      <c r="J6" s="140">
        <f>0</f>
        <v>0</v>
      </c>
      <c r="K6" s="140">
        <f>0</f>
        <v>0</v>
      </c>
      <c r="L6" s="140">
        <f>0</f>
        <v>0</v>
      </c>
      <c r="M6" s="140">
        <f>0</f>
        <v>0</v>
      </c>
      <c r="N6" s="140">
        <f>0</f>
        <v>0</v>
      </c>
      <c r="O6" s="140">
        <f>0</f>
        <v>0</v>
      </c>
      <c r="R6" s="129" t="s">
        <v>513</v>
      </c>
      <c r="S6" s="139">
        <f t="shared" ref="S6:S35" si="0">IFERROR($G6*$E6/G$4,"")</f>
        <v>0</v>
      </c>
      <c r="T6" s="139">
        <f t="shared" ref="T6:T35" si="1">IFERROR($H6*$E6/H$4,"")</f>
        <v>0</v>
      </c>
      <c r="U6" s="139">
        <f t="shared" ref="U6:U35" si="2">IFERROR($I6*$E6/I$4,"")</f>
        <v>0</v>
      </c>
      <c r="V6" s="139">
        <f t="shared" ref="V6:V35" si="3">IFERROR($J6*$E6/J$4,"")</f>
        <v>0</v>
      </c>
      <c r="W6" s="139">
        <f t="shared" ref="W6:W35" si="4">IFERROR($K6*$E6/K$4,"")</f>
        <v>0</v>
      </c>
      <c r="X6" s="139">
        <f t="shared" ref="X6:X35" si="5">IFERROR($L6*$E6/L$4,"")</f>
        <v>0</v>
      </c>
      <c r="Y6" s="139">
        <f t="shared" ref="Y6:Y35" si="6">IFERROR($M6*$E6/M$4,"")</f>
        <v>0</v>
      </c>
      <c r="Z6" s="139">
        <f t="shared" ref="Z6:Z35" si="7">IFERROR($N6*$E6/N$4,"")</f>
        <v>0</v>
      </c>
      <c r="AA6" s="139">
        <f t="shared" ref="AA6:AA35" si="8">IFERROR($O6*$E6/O$4,"")</f>
        <v>0</v>
      </c>
    </row>
    <row r="7" spans="1:27" ht="26.1" customHeight="1">
      <c r="A7" s="96" t="s">
        <v>404</v>
      </c>
      <c r="B7" s="96" t="s">
        <v>515</v>
      </c>
      <c r="C7" s="96">
        <v>1</v>
      </c>
      <c r="D7" s="97">
        <v>16</v>
      </c>
      <c r="E7" s="109">
        <v>11</v>
      </c>
      <c r="F7" s="96" t="s">
        <v>514</v>
      </c>
      <c r="G7" s="140">
        <f>0</f>
        <v>0</v>
      </c>
      <c r="H7" s="140">
        <f>0</f>
        <v>0</v>
      </c>
      <c r="I7" s="140">
        <f>0</f>
        <v>0</v>
      </c>
      <c r="J7" s="140">
        <f>0</f>
        <v>0</v>
      </c>
      <c r="K7" s="140">
        <f>0</f>
        <v>0</v>
      </c>
      <c r="L7" s="140">
        <f>0</f>
        <v>0</v>
      </c>
      <c r="M7" s="140">
        <f>0</f>
        <v>0</v>
      </c>
      <c r="N7" s="140">
        <f>0</f>
        <v>0</v>
      </c>
      <c r="O7" s="140">
        <f>0</f>
        <v>0</v>
      </c>
      <c r="R7" s="129" t="s">
        <v>515</v>
      </c>
      <c r="S7" s="139">
        <f t="shared" si="0"/>
        <v>0</v>
      </c>
      <c r="T7" s="139">
        <f t="shared" si="1"/>
        <v>0</v>
      </c>
      <c r="U7" s="139">
        <f t="shared" si="2"/>
        <v>0</v>
      </c>
      <c r="V7" s="139">
        <f t="shared" si="3"/>
        <v>0</v>
      </c>
      <c r="W7" s="139">
        <f t="shared" si="4"/>
        <v>0</v>
      </c>
      <c r="X7" s="139">
        <f t="shared" si="5"/>
        <v>0</v>
      </c>
      <c r="Y7" s="139">
        <f t="shared" si="6"/>
        <v>0</v>
      </c>
      <c r="Z7" s="139">
        <f t="shared" si="7"/>
        <v>0</v>
      </c>
      <c r="AA7" s="139">
        <f t="shared" si="8"/>
        <v>0</v>
      </c>
    </row>
    <row r="8" spans="1:27" ht="26.1" customHeight="1">
      <c r="A8" s="96" t="s">
        <v>404</v>
      </c>
      <c r="B8" s="96" t="s">
        <v>405</v>
      </c>
      <c r="C8" s="96">
        <v>1</v>
      </c>
      <c r="D8" s="97">
        <v>25</v>
      </c>
      <c r="E8" s="109">
        <v>12</v>
      </c>
      <c r="F8" s="96" t="s">
        <v>516</v>
      </c>
      <c r="G8" s="140">
        <f t="shared" ref="G8:O17" si="9">INT(G$4/(1.25*$E8))</f>
        <v>13</v>
      </c>
      <c r="H8" s="140">
        <f t="shared" si="9"/>
        <v>20</v>
      </c>
      <c r="I8" s="140">
        <f t="shared" si="9"/>
        <v>26</v>
      </c>
      <c r="J8" s="140">
        <f t="shared" si="9"/>
        <v>33</v>
      </c>
      <c r="K8" s="140">
        <f t="shared" si="9"/>
        <v>40</v>
      </c>
      <c r="L8" s="140">
        <f t="shared" si="9"/>
        <v>46</v>
      </c>
      <c r="M8" s="140">
        <f t="shared" si="9"/>
        <v>53</v>
      </c>
      <c r="N8" s="140">
        <f t="shared" si="9"/>
        <v>60</v>
      </c>
      <c r="O8" s="140">
        <f t="shared" si="9"/>
        <v>66</v>
      </c>
      <c r="R8" s="129" t="s">
        <v>405</v>
      </c>
      <c r="S8" s="139">
        <f t="shared" si="0"/>
        <v>0.78</v>
      </c>
      <c r="T8" s="139">
        <f t="shared" si="1"/>
        <v>0.8</v>
      </c>
      <c r="U8" s="139">
        <f t="shared" si="2"/>
        <v>0.78</v>
      </c>
      <c r="V8" s="139">
        <f t="shared" si="3"/>
        <v>0.79200000000000004</v>
      </c>
      <c r="W8" s="139">
        <f t="shared" si="4"/>
        <v>0.8</v>
      </c>
      <c r="X8" s="139">
        <f t="shared" si="5"/>
        <v>0.78857142857142859</v>
      </c>
      <c r="Y8" s="139">
        <f t="shared" si="6"/>
        <v>0.79500000000000004</v>
      </c>
      <c r="Z8" s="139">
        <f t="shared" si="7"/>
        <v>0.8</v>
      </c>
      <c r="AA8" s="139">
        <f t="shared" si="8"/>
        <v>0.79200000000000004</v>
      </c>
    </row>
    <row r="9" spans="1:27" ht="26.1" customHeight="1">
      <c r="A9" s="96" t="s">
        <v>404</v>
      </c>
      <c r="B9" s="96" t="s">
        <v>406</v>
      </c>
      <c r="C9" s="96">
        <v>1</v>
      </c>
      <c r="D9" s="97">
        <v>35</v>
      </c>
      <c r="E9" s="109">
        <v>13</v>
      </c>
      <c r="F9" s="96" t="s">
        <v>516</v>
      </c>
      <c r="G9" s="140">
        <f t="shared" si="9"/>
        <v>12</v>
      </c>
      <c r="H9" s="140">
        <f t="shared" si="9"/>
        <v>18</v>
      </c>
      <c r="I9" s="140">
        <f t="shared" si="9"/>
        <v>24</v>
      </c>
      <c r="J9" s="140">
        <f t="shared" si="9"/>
        <v>30</v>
      </c>
      <c r="K9" s="140">
        <f t="shared" si="9"/>
        <v>36</v>
      </c>
      <c r="L9" s="140">
        <f t="shared" si="9"/>
        <v>43</v>
      </c>
      <c r="M9" s="140">
        <f t="shared" si="9"/>
        <v>49</v>
      </c>
      <c r="N9" s="140">
        <f t="shared" si="9"/>
        <v>55</v>
      </c>
      <c r="O9" s="140">
        <f t="shared" si="9"/>
        <v>61</v>
      </c>
      <c r="R9" s="129" t="s">
        <v>406</v>
      </c>
      <c r="S9" s="139">
        <f t="shared" si="0"/>
        <v>0.78</v>
      </c>
      <c r="T9" s="139">
        <f t="shared" si="1"/>
        <v>0.78</v>
      </c>
      <c r="U9" s="139">
        <f t="shared" si="2"/>
        <v>0.78</v>
      </c>
      <c r="V9" s="139">
        <f t="shared" si="3"/>
        <v>0.78</v>
      </c>
      <c r="W9" s="139">
        <f t="shared" si="4"/>
        <v>0.78</v>
      </c>
      <c r="X9" s="139">
        <f t="shared" si="5"/>
        <v>0.7985714285714286</v>
      </c>
      <c r="Y9" s="139">
        <f t="shared" si="6"/>
        <v>0.79625000000000001</v>
      </c>
      <c r="Z9" s="139">
        <f t="shared" si="7"/>
        <v>0.7944444444444444</v>
      </c>
      <c r="AA9" s="139">
        <f t="shared" si="8"/>
        <v>0.79300000000000004</v>
      </c>
    </row>
    <row r="10" spans="1:27" ht="26.1" customHeight="1">
      <c r="A10" s="96" t="s">
        <v>404</v>
      </c>
      <c r="B10" s="96" t="s">
        <v>407</v>
      </c>
      <c r="C10" s="96">
        <v>1</v>
      </c>
      <c r="D10" s="97">
        <v>50</v>
      </c>
      <c r="E10" s="109">
        <v>15</v>
      </c>
      <c r="F10" s="96" t="s">
        <v>516</v>
      </c>
      <c r="G10" s="140">
        <f t="shared" si="9"/>
        <v>10</v>
      </c>
      <c r="H10" s="140">
        <f t="shared" si="9"/>
        <v>16</v>
      </c>
      <c r="I10" s="140">
        <f t="shared" si="9"/>
        <v>21</v>
      </c>
      <c r="J10" s="140">
        <f t="shared" si="9"/>
        <v>26</v>
      </c>
      <c r="K10" s="140">
        <f t="shared" si="9"/>
        <v>32</v>
      </c>
      <c r="L10" s="140">
        <f t="shared" si="9"/>
        <v>37</v>
      </c>
      <c r="M10" s="140">
        <f t="shared" si="9"/>
        <v>42</v>
      </c>
      <c r="N10" s="140">
        <f t="shared" si="9"/>
        <v>48</v>
      </c>
      <c r="O10" s="140">
        <f t="shared" si="9"/>
        <v>53</v>
      </c>
      <c r="R10" s="129" t="s">
        <v>407</v>
      </c>
      <c r="S10" s="139">
        <f t="shared" si="0"/>
        <v>0.75</v>
      </c>
      <c r="T10" s="139">
        <f t="shared" si="1"/>
        <v>0.8</v>
      </c>
      <c r="U10" s="139">
        <f t="shared" si="2"/>
        <v>0.78749999999999998</v>
      </c>
      <c r="V10" s="139">
        <f t="shared" si="3"/>
        <v>0.78</v>
      </c>
      <c r="W10" s="139">
        <f t="shared" si="4"/>
        <v>0.8</v>
      </c>
      <c r="X10" s="139">
        <f t="shared" si="5"/>
        <v>0.79285714285714282</v>
      </c>
      <c r="Y10" s="139">
        <f t="shared" si="6"/>
        <v>0.78749999999999998</v>
      </c>
      <c r="Z10" s="139">
        <f t="shared" si="7"/>
        <v>0.8</v>
      </c>
      <c r="AA10" s="139">
        <f t="shared" si="8"/>
        <v>0.79500000000000004</v>
      </c>
    </row>
    <row r="11" spans="1:27" ht="26.1" customHeight="1">
      <c r="A11" s="96" t="s">
        <v>404</v>
      </c>
      <c r="B11" s="96" t="s">
        <v>408</v>
      </c>
      <c r="C11" s="96">
        <v>1</v>
      </c>
      <c r="D11" s="97">
        <v>70</v>
      </c>
      <c r="E11" s="109">
        <v>16</v>
      </c>
      <c r="F11" s="96" t="s">
        <v>516</v>
      </c>
      <c r="G11" s="140">
        <f t="shared" si="9"/>
        <v>10</v>
      </c>
      <c r="H11" s="140">
        <f t="shared" si="9"/>
        <v>15</v>
      </c>
      <c r="I11" s="140">
        <f t="shared" si="9"/>
        <v>20</v>
      </c>
      <c r="J11" s="140">
        <f t="shared" si="9"/>
        <v>25</v>
      </c>
      <c r="K11" s="140">
        <f t="shared" si="9"/>
        <v>30</v>
      </c>
      <c r="L11" s="140">
        <f t="shared" si="9"/>
        <v>35</v>
      </c>
      <c r="M11" s="140">
        <f t="shared" si="9"/>
        <v>40</v>
      </c>
      <c r="N11" s="140">
        <f t="shared" si="9"/>
        <v>45</v>
      </c>
      <c r="O11" s="140">
        <f t="shared" si="9"/>
        <v>50</v>
      </c>
      <c r="R11" s="129" t="s">
        <v>408</v>
      </c>
      <c r="S11" s="139">
        <f t="shared" si="0"/>
        <v>0.8</v>
      </c>
      <c r="T11" s="139">
        <f t="shared" si="1"/>
        <v>0.8</v>
      </c>
      <c r="U11" s="139">
        <f t="shared" si="2"/>
        <v>0.8</v>
      </c>
      <c r="V11" s="139">
        <f t="shared" si="3"/>
        <v>0.8</v>
      </c>
      <c r="W11" s="139">
        <f t="shared" si="4"/>
        <v>0.8</v>
      </c>
      <c r="X11" s="139">
        <f t="shared" si="5"/>
        <v>0.8</v>
      </c>
      <c r="Y11" s="139">
        <f t="shared" si="6"/>
        <v>0.8</v>
      </c>
      <c r="Z11" s="139">
        <f t="shared" si="7"/>
        <v>0.8</v>
      </c>
      <c r="AA11" s="139">
        <f t="shared" si="8"/>
        <v>0.8</v>
      </c>
    </row>
    <row r="12" spans="1:27" ht="26.1" customHeight="1">
      <c r="A12" s="96" t="s">
        <v>404</v>
      </c>
      <c r="B12" s="96" t="s">
        <v>409</v>
      </c>
      <c r="C12" s="96">
        <v>1</v>
      </c>
      <c r="D12" s="97">
        <v>95</v>
      </c>
      <c r="E12" s="109">
        <v>18</v>
      </c>
      <c r="F12" s="96" t="s">
        <v>516</v>
      </c>
      <c r="G12" s="140">
        <f t="shared" si="9"/>
        <v>8</v>
      </c>
      <c r="H12" s="140">
        <f t="shared" si="9"/>
        <v>13</v>
      </c>
      <c r="I12" s="140">
        <f t="shared" si="9"/>
        <v>17</v>
      </c>
      <c r="J12" s="140">
        <f t="shared" si="9"/>
        <v>22</v>
      </c>
      <c r="K12" s="140">
        <f t="shared" si="9"/>
        <v>26</v>
      </c>
      <c r="L12" s="140">
        <f t="shared" si="9"/>
        <v>31</v>
      </c>
      <c r="M12" s="140">
        <f t="shared" si="9"/>
        <v>35</v>
      </c>
      <c r="N12" s="140">
        <f t="shared" si="9"/>
        <v>40</v>
      </c>
      <c r="O12" s="140">
        <f t="shared" si="9"/>
        <v>44</v>
      </c>
      <c r="R12" s="129" t="s">
        <v>409</v>
      </c>
      <c r="S12" s="139">
        <f t="shared" si="0"/>
        <v>0.72</v>
      </c>
      <c r="T12" s="139">
        <f t="shared" si="1"/>
        <v>0.78</v>
      </c>
      <c r="U12" s="139">
        <f t="shared" si="2"/>
        <v>0.76500000000000001</v>
      </c>
      <c r="V12" s="139">
        <f t="shared" si="3"/>
        <v>0.79200000000000004</v>
      </c>
      <c r="W12" s="139">
        <f t="shared" si="4"/>
        <v>0.78</v>
      </c>
      <c r="X12" s="139">
        <f t="shared" si="5"/>
        <v>0.79714285714285715</v>
      </c>
      <c r="Y12" s="139">
        <f t="shared" si="6"/>
        <v>0.78749999999999998</v>
      </c>
      <c r="Z12" s="139">
        <f t="shared" si="7"/>
        <v>0.8</v>
      </c>
      <c r="AA12" s="139">
        <f t="shared" si="8"/>
        <v>0.79200000000000004</v>
      </c>
    </row>
    <row r="13" spans="1:27" ht="26.1" customHeight="1">
      <c r="A13" s="96" t="s">
        <v>404</v>
      </c>
      <c r="B13" s="96" t="s">
        <v>410</v>
      </c>
      <c r="C13" s="96">
        <v>1</v>
      </c>
      <c r="D13" s="97">
        <v>120</v>
      </c>
      <c r="E13" s="109">
        <v>20</v>
      </c>
      <c r="F13" s="96" t="s">
        <v>516</v>
      </c>
      <c r="G13" s="140">
        <f t="shared" si="9"/>
        <v>8</v>
      </c>
      <c r="H13" s="140">
        <f t="shared" si="9"/>
        <v>12</v>
      </c>
      <c r="I13" s="140">
        <f t="shared" si="9"/>
        <v>16</v>
      </c>
      <c r="J13" s="140">
        <f t="shared" si="9"/>
        <v>20</v>
      </c>
      <c r="K13" s="140">
        <f t="shared" si="9"/>
        <v>24</v>
      </c>
      <c r="L13" s="140">
        <f t="shared" si="9"/>
        <v>28</v>
      </c>
      <c r="M13" s="140">
        <f t="shared" si="9"/>
        <v>32</v>
      </c>
      <c r="N13" s="140">
        <f t="shared" si="9"/>
        <v>36</v>
      </c>
      <c r="O13" s="140">
        <f t="shared" si="9"/>
        <v>40</v>
      </c>
      <c r="R13" s="129" t="s">
        <v>410</v>
      </c>
      <c r="S13" s="139">
        <f t="shared" si="0"/>
        <v>0.8</v>
      </c>
      <c r="T13" s="139">
        <f t="shared" si="1"/>
        <v>0.8</v>
      </c>
      <c r="U13" s="139">
        <f t="shared" si="2"/>
        <v>0.8</v>
      </c>
      <c r="V13" s="139">
        <f t="shared" si="3"/>
        <v>0.8</v>
      </c>
      <c r="W13" s="139">
        <f t="shared" si="4"/>
        <v>0.8</v>
      </c>
      <c r="X13" s="139">
        <f t="shared" si="5"/>
        <v>0.8</v>
      </c>
      <c r="Y13" s="139">
        <f t="shared" si="6"/>
        <v>0.8</v>
      </c>
      <c r="Z13" s="139">
        <f t="shared" si="7"/>
        <v>0.8</v>
      </c>
      <c r="AA13" s="139">
        <f t="shared" si="8"/>
        <v>0.8</v>
      </c>
    </row>
    <row r="14" spans="1:27" ht="26.1" customHeight="1">
      <c r="A14" s="96" t="s">
        <v>404</v>
      </c>
      <c r="B14" s="96" t="s">
        <v>411</v>
      </c>
      <c r="C14" s="96">
        <v>1</v>
      </c>
      <c r="D14" s="97">
        <v>150</v>
      </c>
      <c r="E14" s="109">
        <v>22</v>
      </c>
      <c r="F14" s="96" t="s">
        <v>516</v>
      </c>
      <c r="G14" s="140">
        <f t="shared" si="9"/>
        <v>7</v>
      </c>
      <c r="H14" s="140">
        <f t="shared" si="9"/>
        <v>10</v>
      </c>
      <c r="I14" s="140">
        <f t="shared" si="9"/>
        <v>14</v>
      </c>
      <c r="J14" s="140">
        <f t="shared" si="9"/>
        <v>18</v>
      </c>
      <c r="K14" s="140">
        <f t="shared" si="9"/>
        <v>21</v>
      </c>
      <c r="L14" s="140">
        <f t="shared" si="9"/>
        <v>25</v>
      </c>
      <c r="M14" s="140">
        <f t="shared" si="9"/>
        <v>29</v>
      </c>
      <c r="N14" s="140">
        <f t="shared" si="9"/>
        <v>32</v>
      </c>
      <c r="O14" s="140">
        <f t="shared" si="9"/>
        <v>36</v>
      </c>
      <c r="R14" s="129" t="s">
        <v>411</v>
      </c>
      <c r="S14" s="139">
        <f t="shared" si="0"/>
        <v>0.77</v>
      </c>
      <c r="T14" s="139">
        <f t="shared" si="1"/>
        <v>0.73333333333333328</v>
      </c>
      <c r="U14" s="139">
        <f t="shared" si="2"/>
        <v>0.77</v>
      </c>
      <c r="V14" s="139">
        <f t="shared" si="3"/>
        <v>0.79200000000000004</v>
      </c>
      <c r="W14" s="139">
        <f t="shared" si="4"/>
        <v>0.77</v>
      </c>
      <c r="X14" s="139">
        <f t="shared" si="5"/>
        <v>0.7857142857142857</v>
      </c>
      <c r="Y14" s="139">
        <f t="shared" si="6"/>
        <v>0.79749999999999999</v>
      </c>
      <c r="Z14" s="139">
        <f t="shared" si="7"/>
        <v>0.78222222222222226</v>
      </c>
      <c r="AA14" s="139">
        <f t="shared" si="8"/>
        <v>0.79200000000000004</v>
      </c>
    </row>
    <row r="15" spans="1:27" ht="26.1" customHeight="1">
      <c r="A15" s="96" t="s">
        <v>404</v>
      </c>
      <c r="B15" s="96" t="s">
        <v>412</v>
      </c>
      <c r="C15" s="96">
        <v>1</v>
      </c>
      <c r="D15" s="97">
        <v>185</v>
      </c>
      <c r="E15" s="109">
        <v>24</v>
      </c>
      <c r="F15" s="96" t="s">
        <v>516</v>
      </c>
      <c r="G15" s="140">
        <f t="shared" si="9"/>
        <v>6</v>
      </c>
      <c r="H15" s="140">
        <f t="shared" si="9"/>
        <v>10</v>
      </c>
      <c r="I15" s="140">
        <f t="shared" si="9"/>
        <v>13</v>
      </c>
      <c r="J15" s="140">
        <f t="shared" si="9"/>
        <v>16</v>
      </c>
      <c r="K15" s="140">
        <f t="shared" si="9"/>
        <v>20</v>
      </c>
      <c r="L15" s="140">
        <f t="shared" si="9"/>
        <v>23</v>
      </c>
      <c r="M15" s="140">
        <f t="shared" si="9"/>
        <v>26</v>
      </c>
      <c r="N15" s="140">
        <f t="shared" si="9"/>
        <v>30</v>
      </c>
      <c r="O15" s="140">
        <f t="shared" si="9"/>
        <v>33</v>
      </c>
      <c r="R15" s="129" t="s">
        <v>412</v>
      </c>
      <c r="S15" s="139">
        <f t="shared" si="0"/>
        <v>0.72</v>
      </c>
      <c r="T15" s="139">
        <f t="shared" si="1"/>
        <v>0.8</v>
      </c>
      <c r="U15" s="139">
        <f t="shared" si="2"/>
        <v>0.78</v>
      </c>
      <c r="V15" s="139">
        <f t="shared" si="3"/>
        <v>0.76800000000000002</v>
      </c>
      <c r="W15" s="139">
        <f t="shared" si="4"/>
        <v>0.8</v>
      </c>
      <c r="X15" s="139">
        <f t="shared" si="5"/>
        <v>0.78857142857142859</v>
      </c>
      <c r="Y15" s="139">
        <f t="shared" si="6"/>
        <v>0.78</v>
      </c>
      <c r="Z15" s="139">
        <f t="shared" si="7"/>
        <v>0.8</v>
      </c>
      <c r="AA15" s="139">
        <f t="shared" si="8"/>
        <v>0.79200000000000004</v>
      </c>
    </row>
    <row r="16" spans="1:27" ht="26.1" customHeight="1">
      <c r="A16" s="96" t="s">
        <v>404</v>
      </c>
      <c r="B16" s="96" t="s">
        <v>413</v>
      </c>
      <c r="C16" s="96">
        <v>1</v>
      </c>
      <c r="D16" s="97">
        <v>240</v>
      </c>
      <c r="E16" s="109">
        <v>27</v>
      </c>
      <c r="F16" s="96" t="s">
        <v>516</v>
      </c>
      <c r="G16" s="140">
        <f t="shared" si="9"/>
        <v>5</v>
      </c>
      <c r="H16" s="140">
        <f t="shared" si="9"/>
        <v>8</v>
      </c>
      <c r="I16" s="140">
        <f t="shared" si="9"/>
        <v>11</v>
      </c>
      <c r="J16" s="140">
        <f t="shared" si="9"/>
        <v>14</v>
      </c>
      <c r="K16" s="140">
        <f t="shared" si="9"/>
        <v>17</v>
      </c>
      <c r="L16" s="140">
        <f t="shared" si="9"/>
        <v>20</v>
      </c>
      <c r="M16" s="140">
        <f t="shared" si="9"/>
        <v>23</v>
      </c>
      <c r="N16" s="140">
        <f t="shared" si="9"/>
        <v>26</v>
      </c>
      <c r="O16" s="140">
        <f t="shared" si="9"/>
        <v>29</v>
      </c>
      <c r="R16" s="129" t="s">
        <v>413</v>
      </c>
      <c r="S16" s="139">
        <f t="shared" si="0"/>
        <v>0.67500000000000004</v>
      </c>
      <c r="T16" s="139">
        <f t="shared" si="1"/>
        <v>0.72</v>
      </c>
      <c r="U16" s="139">
        <f t="shared" si="2"/>
        <v>0.74250000000000005</v>
      </c>
      <c r="V16" s="139">
        <f t="shared" si="3"/>
        <v>0.75600000000000001</v>
      </c>
      <c r="W16" s="139">
        <f t="shared" si="4"/>
        <v>0.76500000000000001</v>
      </c>
      <c r="X16" s="139">
        <f t="shared" si="5"/>
        <v>0.77142857142857146</v>
      </c>
      <c r="Y16" s="139">
        <f t="shared" si="6"/>
        <v>0.77625</v>
      </c>
      <c r="Z16" s="139">
        <f t="shared" si="7"/>
        <v>0.78</v>
      </c>
      <c r="AA16" s="139">
        <f t="shared" si="8"/>
        <v>0.78300000000000003</v>
      </c>
    </row>
    <row r="17" spans="1:27" ht="26.1" customHeight="1">
      <c r="A17" s="96" t="s">
        <v>404</v>
      </c>
      <c r="B17" s="96" t="s">
        <v>414</v>
      </c>
      <c r="C17" s="96">
        <v>1</v>
      </c>
      <c r="D17" s="97">
        <v>300</v>
      </c>
      <c r="E17" s="109">
        <v>30</v>
      </c>
      <c r="F17" s="96" t="s">
        <v>516</v>
      </c>
      <c r="G17" s="140">
        <f t="shared" si="9"/>
        <v>5</v>
      </c>
      <c r="H17" s="140">
        <f t="shared" si="9"/>
        <v>8</v>
      </c>
      <c r="I17" s="140">
        <f t="shared" si="9"/>
        <v>10</v>
      </c>
      <c r="J17" s="140">
        <f t="shared" si="9"/>
        <v>13</v>
      </c>
      <c r="K17" s="140">
        <f t="shared" si="9"/>
        <v>16</v>
      </c>
      <c r="L17" s="140">
        <f t="shared" si="9"/>
        <v>18</v>
      </c>
      <c r="M17" s="140">
        <f t="shared" si="9"/>
        <v>21</v>
      </c>
      <c r="N17" s="140">
        <f t="shared" si="9"/>
        <v>24</v>
      </c>
      <c r="O17" s="140">
        <f t="shared" si="9"/>
        <v>26</v>
      </c>
      <c r="R17" s="129" t="s">
        <v>414</v>
      </c>
      <c r="S17" s="139">
        <f t="shared" si="0"/>
        <v>0.75</v>
      </c>
      <c r="T17" s="139">
        <f t="shared" si="1"/>
        <v>0.8</v>
      </c>
      <c r="U17" s="139">
        <f t="shared" si="2"/>
        <v>0.75</v>
      </c>
      <c r="V17" s="139">
        <f t="shared" si="3"/>
        <v>0.78</v>
      </c>
      <c r="W17" s="139">
        <f t="shared" si="4"/>
        <v>0.8</v>
      </c>
      <c r="X17" s="139">
        <f t="shared" si="5"/>
        <v>0.77142857142857146</v>
      </c>
      <c r="Y17" s="139">
        <f t="shared" si="6"/>
        <v>0.78749999999999998</v>
      </c>
      <c r="Z17" s="139">
        <f t="shared" si="7"/>
        <v>0.8</v>
      </c>
      <c r="AA17" s="139">
        <f t="shared" si="8"/>
        <v>0.78</v>
      </c>
    </row>
    <row r="18" spans="1:27" ht="26.1" customHeight="1">
      <c r="A18" s="96" t="s">
        <v>404</v>
      </c>
      <c r="B18" s="96" t="s">
        <v>415</v>
      </c>
      <c r="C18" s="96">
        <v>1</v>
      </c>
      <c r="D18" s="97">
        <v>400</v>
      </c>
      <c r="E18" s="109">
        <v>33</v>
      </c>
      <c r="F18" s="96" t="s">
        <v>516</v>
      </c>
      <c r="G18" s="140">
        <f t="shared" ref="G18:O27" si="10">INT(G$4/(1.25*$E18))</f>
        <v>4</v>
      </c>
      <c r="H18" s="140">
        <f t="shared" si="10"/>
        <v>7</v>
      </c>
      <c r="I18" s="140">
        <f t="shared" si="10"/>
        <v>9</v>
      </c>
      <c r="J18" s="140">
        <f t="shared" si="10"/>
        <v>12</v>
      </c>
      <c r="K18" s="140">
        <f t="shared" si="10"/>
        <v>14</v>
      </c>
      <c r="L18" s="140">
        <f t="shared" si="10"/>
        <v>16</v>
      </c>
      <c r="M18" s="140">
        <f t="shared" si="10"/>
        <v>19</v>
      </c>
      <c r="N18" s="140">
        <f t="shared" si="10"/>
        <v>21</v>
      </c>
      <c r="O18" s="140">
        <f t="shared" si="10"/>
        <v>24</v>
      </c>
      <c r="R18" s="129" t="s">
        <v>415</v>
      </c>
      <c r="S18" s="139">
        <f t="shared" si="0"/>
        <v>0.66</v>
      </c>
      <c r="T18" s="139">
        <f t="shared" si="1"/>
        <v>0.77</v>
      </c>
      <c r="U18" s="139">
        <f t="shared" si="2"/>
        <v>0.74250000000000005</v>
      </c>
      <c r="V18" s="139">
        <f t="shared" si="3"/>
        <v>0.79200000000000004</v>
      </c>
      <c r="W18" s="139">
        <f t="shared" si="4"/>
        <v>0.77</v>
      </c>
      <c r="X18" s="139">
        <f t="shared" si="5"/>
        <v>0.75428571428571434</v>
      </c>
      <c r="Y18" s="139">
        <f t="shared" si="6"/>
        <v>0.78374999999999995</v>
      </c>
      <c r="Z18" s="139">
        <f t="shared" si="7"/>
        <v>0.77</v>
      </c>
      <c r="AA18" s="139">
        <f t="shared" si="8"/>
        <v>0.79200000000000004</v>
      </c>
    </row>
    <row r="19" spans="1:27" ht="26.1" customHeight="1">
      <c r="A19" s="96" t="s">
        <v>404</v>
      </c>
      <c r="B19" s="96" t="s">
        <v>416</v>
      </c>
      <c r="C19" s="96">
        <v>1</v>
      </c>
      <c r="D19" s="97">
        <v>500</v>
      </c>
      <c r="E19" s="109">
        <v>37</v>
      </c>
      <c r="F19" s="96" t="s">
        <v>516</v>
      </c>
      <c r="G19" s="140">
        <f t="shared" si="10"/>
        <v>4</v>
      </c>
      <c r="H19" s="140">
        <f t="shared" si="10"/>
        <v>6</v>
      </c>
      <c r="I19" s="140">
        <f t="shared" si="10"/>
        <v>8</v>
      </c>
      <c r="J19" s="140">
        <f t="shared" si="10"/>
        <v>10</v>
      </c>
      <c r="K19" s="140">
        <f t="shared" si="10"/>
        <v>12</v>
      </c>
      <c r="L19" s="140">
        <f t="shared" si="10"/>
        <v>15</v>
      </c>
      <c r="M19" s="140">
        <f t="shared" si="10"/>
        <v>17</v>
      </c>
      <c r="N19" s="140">
        <f t="shared" si="10"/>
        <v>19</v>
      </c>
      <c r="O19" s="140">
        <f t="shared" si="10"/>
        <v>21</v>
      </c>
      <c r="R19" s="129" t="s">
        <v>416</v>
      </c>
      <c r="S19" s="139">
        <f t="shared" si="0"/>
        <v>0.74</v>
      </c>
      <c r="T19" s="139">
        <f t="shared" si="1"/>
        <v>0.74</v>
      </c>
      <c r="U19" s="139">
        <f t="shared" si="2"/>
        <v>0.74</v>
      </c>
      <c r="V19" s="139">
        <f t="shared" si="3"/>
        <v>0.74</v>
      </c>
      <c r="W19" s="139">
        <f t="shared" si="4"/>
        <v>0.74</v>
      </c>
      <c r="X19" s="139">
        <f t="shared" si="5"/>
        <v>0.79285714285714282</v>
      </c>
      <c r="Y19" s="139">
        <f t="shared" si="6"/>
        <v>0.78625</v>
      </c>
      <c r="Z19" s="139">
        <f t="shared" si="7"/>
        <v>0.78111111111111109</v>
      </c>
      <c r="AA19" s="139">
        <f t="shared" si="8"/>
        <v>0.77700000000000002</v>
      </c>
    </row>
    <row r="20" spans="1:27" ht="26.1" customHeight="1">
      <c r="A20" s="96" t="s">
        <v>404</v>
      </c>
      <c r="B20" s="96" t="s">
        <v>417</v>
      </c>
      <c r="C20" s="96">
        <v>1</v>
      </c>
      <c r="D20" s="97">
        <v>630</v>
      </c>
      <c r="E20" s="109">
        <v>41</v>
      </c>
      <c r="F20" s="96" t="s">
        <v>516</v>
      </c>
      <c r="G20" s="140">
        <f t="shared" si="10"/>
        <v>3</v>
      </c>
      <c r="H20" s="140">
        <f t="shared" si="10"/>
        <v>5</v>
      </c>
      <c r="I20" s="140">
        <f t="shared" si="10"/>
        <v>7</v>
      </c>
      <c r="J20" s="140">
        <f t="shared" si="10"/>
        <v>9</v>
      </c>
      <c r="K20" s="140">
        <f t="shared" si="10"/>
        <v>11</v>
      </c>
      <c r="L20" s="140">
        <f t="shared" si="10"/>
        <v>13</v>
      </c>
      <c r="M20" s="140">
        <f t="shared" si="10"/>
        <v>15</v>
      </c>
      <c r="N20" s="140">
        <f t="shared" si="10"/>
        <v>17</v>
      </c>
      <c r="O20" s="140">
        <f t="shared" si="10"/>
        <v>19</v>
      </c>
      <c r="R20" s="129" t="s">
        <v>417</v>
      </c>
      <c r="S20" s="139">
        <f t="shared" si="0"/>
        <v>0.61499999999999999</v>
      </c>
      <c r="T20" s="139">
        <f t="shared" si="1"/>
        <v>0.68333333333333335</v>
      </c>
      <c r="U20" s="139">
        <f t="shared" si="2"/>
        <v>0.71750000000000003</v>
      </c>
      <c r="V20" s="139">
        <f t="shared" si="3"/>
        <v>0.73799999999999999</v>
      </c>
      <c r="W20" s="139">
        <f t="shared" si="4"/>
        <v>0.75166666666666671</v>
      </c>
      <c r="X20" s="139">
        <f t="shared" si="5"/>
        <v>0.76142857142857145</v>
      </c>
      <c r="Y20" s="139">
        <f t="shared" si="6"/>
        <v>0.76875000000000004</v>
      </c>
      <c r="Z20" s="139">
        <f t="shared" si="7"/>
        <v>0.77444444444444449</v>
      </c>
      <c r="AA20" s="139">
        <f t="shared" si="8"/>
        <v>0.77900000000000003</v>
      </c>
    </row>
    <row r="21" spans="1:27" ht="26.1" customHeight="1">
      <c r="A21" s="96" t="s">
        <v>404</v>
      </c>
      <c r="B21" s="96" t="s">
        <v>418</v>
      </c>
      <c r="C21" s="96">
        <v>2</v>
      </c>
      <c r="D21" s="97">
        <v>10</v>
      </c>
      <c r="E21" s="109">
        <v>16</v>
      </c>
      <c r="F21" s="96" t="s">
        <v>516</v>
      </c>
      <c r="G21" s="140">
        <f t="shared" si="10"/>
        <v>10</v>
      </c>
      <c r="H21" s="140">
        <f t="shared" si="10"/>
        <v>15</v>
      </c>
      <c r="I21" s="140">
        <f t="shared" si="10"/>
        <v>20</v>
      </c>
      <c r="J21" s="140">
        <f t="shared" si="10"/>
        <v>25</v>
      </c>
      <c r="K21" s="140">
        <f t="shared" si="10"/>
        <v>30</v>
      </c>
      <c r="L21" s="140">
        <f t="shared" si="10"/>
        <v>35</v>
      </c>
      <c r="M21" s="140">
        <f t="shared" si="10"/>
        <v>40</v>
      </c>
      <c r="N21" s="140">
        <f t="shared" si="10"/>
        <v>45</v>
      </c>
      <c r="O21" s="140">
        <f t="shared" si="10"/>
        <v>50</v>
      </c>
      <c r="R21" s="129" t="s">
        <v>418</v>
      </c>
      <c r="S21" s="139">
        <f t="shared" si="0"/>
        <v>0.8</v>
      </c>
      <c r="T21" s="139">
        <f t="shared" si="1"/>
        <v>0.8</v>
      </c>
      <c r="U21" s="139">
        <f t="shared" si="2"/>
        <v>0.8</v>
      </c>
      <c r="V21" s="139">
        <f t="shared" si="3"/>
        <v>0.8</v>
      </c>
      <c r="W21" s="139">
        <f t="shared" si="4"/>
        <v>0.8</v>
      </c>
      <c r="X21" s="139">
        <f t="shared" si="5"/>
        <v>0.8</v>
      </c>
      <c r="Y21" s="139">
        <f t="shared" si="6"/>
        <v>0.8</v>
      </c>
      <c r="Z21" s="139">
        <f t="shared" si="7"/>
        <v>0.8</v>
      </c>
      <c r="AA21" s="139">
        <f t="shared" si="8"/>
        <v>0.8</v>
      </c>
    </row>
    <row r="22" spans="1:27" ht="26.1" customHeight="1">
      <c r="A22" s="96" t="s">
        <v>404</v>
      </c>
      <c r="B22" s="96" t="s">
        <v>419</v>
      </c>
      <c r="C22" s="96">
        <v>2</v>
      </c>
      <c r="D22" s="97">
        <v>16</v>
      </c>
      <c r="E22" s="109">
        <v>18</v>
      </c>
      <c r="F22" s="96" t="s">
        <v>516</v>
      </c>
      <c r="G22" s="140">
        <f t="shared" si="10"/>
        <v>8</v>
      </c>
      <c r="H22" s="140">
        <f t="shared" si="10"/>
        <v>13</v>
      </c>
      <c r="I22" s="140">
        <f t="shared" si="10"/>
        <v>17</v>
      </c>
      <c r="J22" s="140">
        <f t="shared" si="10"/>
        <v>22</v>
      </c>
      <c r="K22" s="140">
        <f t="shared" si="10"/>
        <v>26</v>
      </c>
      <c r="L22" s="140">
        <f t="shared" si="10"/>
        <v>31</v>
      </c>
      <c r="M22" s="140">
        <f t="shared" si="10"/>
        <v>35</v>
      </c>
      <c r="N22" s="140">
        <f t="shared" si="10"/>
        <v>40</v>
      </c>
      <c r="O22" s="140">
        <f t="shared" si="10"/>
        <v>44</v>
      </c>
      <c r="R22" s="129" t="s">
        <v>419</v>
      </c>
      <c r="S22" s="139">
        <f t="shared" si="0"/>
        <v>0.72</v>
      </c>
      <c r="T22" s="139">
        <f t="shared" si="1"/>
        <v>0.78</v>
      </c>
      <c r="U22" s="139">
        <f t="shared" si="2"/>
        <v>0.76500000000000001</v>
      </c>
      <c r="V22" s="139">
        <f t="shared" si="3"/>
        <v>0.79200000000000004</v>
      </c>
      <c r="W22" s="139">
        <f t="shared" si="4"/>
        <v>0.78</v>
      </c>
      <c r="X22" s="139">
        <f t="shared" si="5"/>
        <v>0.79714285714285715</v>
      </c>
      <c r="Y22" s="139">
        <f t="shared" si="6"/>
        <v>0.78749999999999998</v>
      </c>
      <c r="Z22" s="139">
        <f t="shared" si="7"/>
        <v>0.8</v>
      </c>
      <c r="AA22" s="139">
        <f t="shared" si="8"/>
        <v>0.79200000000000004</v>
      </c>
    </row>
    <row r="23" spans="1:27" ht="26.1" customHeight="1">
      <c r="A23" s="96" t="s">
        <v>404</v>
      </c>
      <c r="B23" s="96" t="s">
        <v>420</v>
      </c>
      <c r="C23" s="96">
        <v>2</v>
      </c>
      <c r="D23" s="97">
        <v>25</v>
      </c>
      <c r="E23" s="109">
        <v>21</v>
      </c>
      <c r="F23" s="96" t="s">
        <v>516</v>
      </c>
      <c r="G23" s="140">
        <f t="shared" si="10"/>
        <v>7</v>
      </c>
      <c r="H23" s="140">
        <f t="shared" si="10"/>
        <v>11</v>
      </c>
      <c r="I23" s="140">
        <f t="shared" si="10"/>
        <v>15</v>
      </c>
      <c r="J23" s="140">
        <f t="shared" si="10"/>
        <v>19</v>
      </c>
      <c r="K23" s="140">
        <f t="shared" si="10"/>
        <v>22</v>
      </c>
      <c r="L23" s="140">
        <f t="shared" si="10"/>
        <v>26</v>
      </c>
      <c r="M23" s="140">
        <f t="shared" si="10"/>
        <v>30</v>
      </c>
      <c r="N23" s="140">
        <f t="shared" si="10"/>
        <v>34</v>
      </c>
      <c r="O23" s="140">
        <f t="shared" si="10"/>
        <v>38</v>
      </c>
      <c r="R23" s="129" t="s">
        <v>420</v>
      </c>
      <c r="S23" s="139">
        <f t="shared" si="0"/>
        <v>0.73499999999999999</v>
      </c>
      <c r="T23" s="139">
        <f t="shared" si="1"/>
        <v>0.77</v>
      </c>
      <c r="U23" s="139">
        <f t="shared" si="2"/>
        <v>0.78749999999999998</v>
      </c>
      <c r="V23" s="139">
        <f t="shared" si="3"/>
        <v>0.79800000000000004</v>
      </c>
      <c r="W23" s="139">
        <f t="shared" si="4"/>
        <v>0.77</v>
      </c>
      <c r="X23" s="139">
        <f t="shared" si="5"/>
        <v>0.78</v>
      </c>
      <c r="Y23" s="139">
        <f t="shared" si="6"/>
        <v>0.78749999999999998</v>
      </c>
      <c r="Z23" s="139">
        <f t="shared" si="7"/>
        <v>0.79333333333333333</v>
      </c>
      <c r="AA23" s="139">
        <f t="shared" si="8"/>
        <v>0.79800000000000004</v>
      </c>
    </row>
    <row r="24" spans="1:27" ht="26.1" customHeight="1">
      <c r="A24" s="96" t="s">
        <v>404</v>
      </c>
      <c r="B24" s="96" t="s">
        <v>421</v>
      </c>
      <c r="C24" s="96">
        <v>2</v>
      </c>
      <c r="D24" s="97">
        <v>35</v>
      </c>
      <c r="E24" s="109">
        <v>23</v>
      </c>
      <c r="F24" s="96" t="s">
        <v>516</v>
      </c>
      <c r="G24" s="140">
        <f t="shared" si="10"/>
        <v>6</v>
      </c>
      <c r="H24" s="140">
        <f t="shared" si="10"/>
        <v>10</v>
      </c>
      <c r="I24" s="140">
        <f t="shared" si="10"/>
        <v>13</v>
      </c>
      <c r="J24" s="140">
        <f t="shared" si="10"/>
        <v>17</v>
      </c>
      <c r="K24" s="140">
        <f t="shared" si="10"/>
        <v>20</v>
      </c>
      <c r="L24" s="140">
        <f t="shared" si="10"/>
        <v>24</v>
      </c>
      <c r="M24" s="140">
        <f t="shared" si="10"/>
        <v>27</v>
      </c>
      <c r="N24" s="140">
        <f t="shared" si="10"/>
        <v>31</v>
      </c>
      <c r="O24" s="140">
        <f t="shared" si="10"/>
        <v>34</v>
      </c>
      <c r="R24" s="129" t="s">
        <v>421</v>
      </c>
      <c r="S24" s="139">
        <f t="shared" si="0"/>
        <v>0.69</v>
      </c>
      <c r="T24" s="139">
        <f t="shared" si="1"/>
        <v>0.76666666666666672</v>
      </c>
      <c r="U24" s="139">
        <f t="shared" si="2"/>
        <v>0.74750000000000005</v>
      </c>
      <c r="V24" s="139">
        <f t="shared" si="3"/>
        <v>0.78200000000000003</v>
      </c>
      <c r="W24" s="139">
        <f t="shared" si="4"/>
        <v>0.76666666666666672</v>
      </c>
      <c r="X24" s="139">
        <f t="shared" si="5"/>
        <v>0.78857142857142859</v>
      </c>
      <c r="Y24" s="139">
        <f t="shared" si="6"/>
        <v>0.77625</v>
      </c>
      <c r="Z24" s="139">
        <f t="shared" si="7"/>
        <v>0.79222222222222227</v>
      </c>
      <c r="AA24" s="139">
        <f t="shared" si="8"/>
        <v>0.78200000000000003</v>
      </c>
    </row>
    <row r="25" spans="1:27" ht="26.1" customHeight="1">
      <c r="A25" s="96" t="s">
        <v>404</v>
      </c>
      <c r="B25" s="96" t="s">
        <v>422</v>
      </c>
      <c r="C25" s="96">
        <v>2</v>
      </c>
      <c r="D25" s="97">
        <v>50</v>
      </c>
      <c r="E25" s="109">
        <v>25</v>
      </c>
      <c r="F25" s="96" t="s">
        <v>516</v>
      </c>
      <c r="G25" s="140">
        <f t="shared" si="10"/>
        <v>6</v>
      </c>
      <c r="H25" s="140">
        <f t="shared" si="10"/>
        <v>9</v>
      </c>
      <c r="I25" s="140">
        <f t="shared" si="10"/>
        <v>12</v>
      </c>
      <c r="J25" s="140">
        <f t="shared" si="10"/>
        <v>16</v>
      </c>
      <c r="K25" s="140">
        <f t="shared" si="10"/>
        <v>19</v>
      </c>
      <c r="L25" s="140">
        <f t="shared" si="10"/>
        <v>22</v>
      </c>
      <c r="M25" s="140">
        <f t="shared" si="10"/>
        <v>25</v>
      </c>
      <c r="N25" s="140">
        <f t="shared" si="10"/>
        <v>28</v>
      </c>
      <c r="O25" s="140">
        <f t="shared" si="10"/>
        <v>32</v>
      </c>
      <c r="R25" s="129" t="s">
        <v>422</v>
      </c>
      <c r="S25" s="139">
        <f t="shared" si="0"/>
        <v>0.75</v>
      </c>
      <c r="T25" s="139">
        <f t="shared" si="1"/>
        <v>0.75</v>
      </c>
      <c r="U25" s="139">
        <f t="shared" si="2"/>
        <v>0.75</v>
      </c>
      <c r="V25" s="139">
        <f t="shared" si="3"/>
        <v>0.8</v>
      </c>
      <c r="W25" s="139">
        <f t="shared" si="4"/>
        <v>0.79166666666666663</v>
      </c>
      <c r="X25" s="139">
        <f t="shared" si="5"/>
        <v>0.7857142857142857</v>
      </c>
      <c r="Y25" s="139">
        <f t="shared" si="6"/>
        <v>0.78125</v>
      </c>
      <c r="Z25" s="139">
        <f t="shared" si="7"/>
        <v>0.77777777777777779</v>
      </c>
      <c r="AA25" s="139">
        <f t="shared" si="8"/>
        <v>0.8</v>
      </c>
    </row>
    <row r="26" spans="1:27" ht="26.1" customHeight="1">
      <c r="A26" s="96" t="s">
        <v>404</v>
      </c>
      <c r="B26" s="96" t="s">
        <v>423</v>
      </c>
      <c r="C26" s="96">
        <v>2</v>
      </c>
      <c r="D26" s="97">
        <v>70</v>
      </c>
      <c r="E26" s="109">
        <v>30</v>
      </c>
      <c r="F26" s="96" t="s">
        <v>516</v>
      </c>
      <c r="G26" s="140">
        <f t="shared" si="10"/>
        <v>5</v>
      </c>
      <c r="H26" s="140">
        <f t="shared" si="10"/>
        <v>8</v>
      </c>
      <c r="I26" s="140">
        <f t="shared" si="10"/>
        <v>10</v>
      </c>
      <c r="J26" s="140">
        <f t="shared" si="10"/>
        <v>13</v>
      </c>
      <c r="K26" s="140">
        <f t="shared" si="10"/>
        <v>16</v>
      </c>
      <c r="L26" s="140">
        <f t="shared" si="10"/>
        <v>18</v>
      </c>
      <c r="M26" s="140">
        <f t="shared" si="10"/>
        <v>21</v>
      </c>
      <c r="N26" s="140">
        <f t="shared" si="10"/>
        <v>24</v>
      </c>
      <c r="O26" s="140">
        <f t="shared" si="10"/>
        <v>26</v>
      </c>
      <c r="R26" s="129" t="s">
        <v>423</v>
      </c>
      <c r="S26" s="139">
        <f t="shared" si="0"/>
        <v>0.75</v>
      </c>
      <c r="T26" s="139">
        <f t="shared" si="1"/>
        <v>0.8</v>
      </c>
      <c r="U26" s="139">
        <f t="shared" si="2"/>
        <v>0.75</v>
      </c>
      <c r="V26" s="139">
        <f t="shared" si="3"/>
        <v>0.78</v>
      </c>
      <c r="W26" s="139">
        <f t="shared" si="4"/>
        <v>0.8</v>
      </c>
      <c r="X26" s="139">
        <f t="shared" si="5"/>
        <v>0.77142857142857146</v>
      </c>
      <c r="Y26" s="139">
        <f t="shared" si="6"/>
        <v>0.78749999999999998</v>
      </c>
      <c r="Z26" s="139">
        <f t="shared" si="7"/>
        <v>0.8</v>
      </c>
      <c r="AA26" s="139">
        <f t="shared" si="8"/>
        <v>0.78</v>
      </c>
    </row>
    <row r="27" spans="1:27" ht="26.1" customHeight="1">
      <c r="A27" s="96" t="s">
        <v>404</v>
      </c>
      <c r="B27" s="96" t="s">
        <v>424</v>
      </c>
      <c r="C27" s="96">
        <v>2</v>
      </c>
      <c r="D27" s="97">
        <v>95</v>
      </c>
      <c r="E27" s="109">
        <v>33</v>
      </c>
      <c r="F27" s="96" t="s">
        <v>516</v>
      </c>
      <c r="G27" s="140">
        <f t="shared" si="10"/>
        <v>4</v>
      </c>
      <c r="H27" s="140">
        <f t="shared" si="10"/>
        <v>7</v>
      </c>
      <c r="I27" s="140">
        <f t="shared" si="10"/>
        <v>9</v>
      </c>
      <c r="J27" s="140">
        <f t="shared" si="10"/>
        <v>12</v>
      </c>
      <c r="K27" s="140">
        <f t="shared" si="10"/>
        <v>14</v>
      </c>
      <c r="L27" s="140">
        <f t="shared" si="10"/>
        <v>16</v>
      </c>
      <c r="M27" s="140">
        <f t="shared" si="10"/>
        <v>19</v>
      </c>
      <c r="N27" s="140">
        <f t="shared" si="10"/>
        <v>21</v>
      </c>
      <c r="O27" s="140">
        <f t="shared" si="10"/>
        <v>24</v>
      </c>
      <c r="R27" s="129" t="s">
        <v>424</v>
      </c>
      <c r="S27" s="139">
        <f t="shared" si="0"/>
        <v>0.66</v>
      </c>
      <c r="T27" s="139">
        <f t="shared" si="1"/>
        <v>0.77</v>
      </c>
      <c r="U27" s="139">
        <f t="shared" si="2"/>
        <v>0.74250000000000005</v>
      </c>
      <c r="V27" s="139">
        <f t="shared" si="3"/>
        <v>0.79200000000000004</v>
      </c>
      <c r="W27" s="139">
        <f t="shared" si="4"/>
        <v>0.77</v>
      </c>
      <c r="X27" s="139">
        <f t="shared" si="5"/>
        <v>0.75428571428571434</v>
      </c>
      <c r="Y27" s="139">
        <f t="shared" si="6"/>
        <v>0.78374999999999995</v>
      </c>
      <c r="Z27" s="139">
        <f t="shared" si="7"/>
        <v>0.77</v>
      </c>
      <c r="AA27" s="139">
        <f t="shared" si="8"/>
        <v>0.79200000000000004</v>
      </c>
    </row>
    <row r="28" spans="1:27" ht="26.1" customHeight="1">
      <c r="A28" s="96" t="s">
        <v>404</v>
      </c>
      <c r="B28" s="96" t="s">
        <v>425</v>
      </c>
      <c r="C28" s="96">
        <v>2</v>
      </c>
      <c r="D28" s="97">
        <v>120</v>
      </c>
      <c r="E28" s="109">
        <v>37</v>
      </c>
      <c r="F28" s="96" t="s">
        <v>516</v>
      </c>
      <c r="G28" s="140">
        <f t="shared" ref="G28:O37" si="11">INT(G$4/(1.25*$E28))</f>
        <v>4</v>
      </c>
      <c r="H28" s="140">
        <f t="shared" si="11"/>
        <v>6</v>
      </c>
      <c r="I28" s="140">
        <f t="shared" si="11"/>
        <v>8</v>
      </c>
      <c r="J28" s="140">
        <f t="shared" si="11"/>
        <v>10</v>
      </c>
      <c r="K28" s="140">
        <f t="shared" si="11"/>
        <v>12</v>
      </c>
      <c r="L28" s="140">
        <f t="shared" si="11"/>
        <v>15</v>
      </c>
      <c r="M28" s="140">
        <f t="shared" si="11"/>
        <v>17</v>
      </c>
      <c r="N28" s="140">
        <f t="shared" si="11"/>
        <v>19</v>
      </c>
      <c r="O28" s="140">
        <f t="shared" si="11"/>
        <v>21</v>
      </c>
      <c r="R28" s="129" t="s">
        <v>425</v>
      </c>
      <c r="S28" s="139">
        <f t="shared" si="0"/>
        <v>0.74</v>
      </c>
      <c r="T28" s="139">
        <f t="shared" si="1"/>
        <v>0.74</v>
      </c>
      <c r="U28" s="139">
        <f t="shared" si="2"/>
        <v>0.74</v>
      </c>
      <c r="V28" s="139">
        <f t="shared" si="3"/>
        <v>0.74</v>
      </c>
      <c r="W28" s="139">
        <f t="shared" si="4"/>
        <v>0.74</v>
      </c>
      <c r="X28" s="139">
        <f t="shared" si="5"/>
        <v>0.79285714285714282</v>
      </c>
      <c r="Y28" s="139">
        <f t="shared" si="6"/>
        <v>0.78625</v>
      </c>
      <c r="Z28" s="139">
        <f t="shared" si="7"/>
        <v>0.78111111111111109</v>
      </c>
      <c r="AA28" s="139">
        <f t="shared" si="8"/>
        <v>0.77700000000000002</v>
      </c>
    </row>
    <row r="29" spans="1:27" ht="26.1" customHeight="1">
      <c r="A29" s="96" t="s">
        <v>404</v>
      </c>
      <c r="B29" s="96" t="s">
        <v>426</v>
      </c>
      <c r="C29" s="96">
        <v>2</v>
      </c>
      <c r="D29" s="97">
        <v>150</v>
      </c>
      <c r="E29" s="109">
        <v>41</v>
      </c>
      <c r="F29" s="96" t="s">
        <v>516</v>
      </c>
      <c r="G29" s="140">
        <f t="shared" si="11"/>
        <v>3</v>
      </c>
      <c r="H29" s="140">
        <f t="shared" si="11"/>
        <v>5</v>
      </c>
      <c r="I29" s="140">
        <f t="shared" si="11"/>
        <v>7</v>
      </c>
      <c r="J29" s="140">
        <f t="shared" si="11"/>
        <v>9</v>
      </c>
      <c r="K29" s="140">
        <f t="shared" si="11"/>
        <v>11</v>
      </c>
      <c r="L29" s="140">
        <f t="shared" si="11"/>
        <v>13</v>
      </c>
      <c r="M29" s="140">
        <f t="shared" si="11"/>
        <v>15</v>
      </c>
      <c r="N29" s="140">
        <f t="shared" si="11"/>
        <v>17</v>
      </c>
      <c r="O29" s="140">
        <f t="shared" si="11"/>
        <v>19</v>
      </c>
      <c r="R29" s="129" t="s">
        <v>426</v>
      </c>
      <c r="S29" s="139">
        <f t="shared" si="0"/>
        <v>0.61499999999999999</v>
      </c>
      <c r="T29" s="139">
        <f t="shared" si="1"/>
        <v>0.68333333333333335</v>
      </c>
      <c r="U29" s="139">
        <f t="shared" si="2"/>
        <v>0.71750000000000003</v>
      </c>
      <c r="V29" s="139">
        <f t="shared" si="3"/>
        <v>0.73799999999999999</v>
      </c>
      <c r="W29" s="139">
        <f t="shared" si="4"/>
        <v>0.75166666666666671</v>
      </c>
      <c r="X29" s="139">
        <f t="shared" si="5"/>
        <v>0.76142857142857145</v>
      </c>
      <c r="Y29" s="139">
        <f t="shared" si="6"/>
        <v>0.76875000000000004</v>
      </c>
      <c r="Z29" s="139">
        <f t="shared" si="7"/>
        <v>0.77444444444444449</v>
      </c>
      <c r="AA29" s="139">
        <f t="shared" si="8"/>
        <v>0.77900000000000003</v>
      </c>
    </row>
    <row r="30" spans="1:27" ht="26.1" customHeight="1">
      <c r="A30" s="96" t="s">
        <v>404</v>
      </c>
      <c r="B30" s="96" t="s">
        <v>427</v>
      </c>
      <c r="C30" s="96">
        <v>2</v>
      </c>
      <c r="D30" s="97">
        <v>185</v>
      </c>
      <c r="E30" s="109">
        <v>45</v>
      </c>
      <c r="F30" s="96" t="s">
        <v>516</v>
      </c>
      <c r="G30" s="140">
        <f t="shared" si="11"/>
        <v>3</v>
      </c>
      <c r="H30" s="140">
        <f t="shared" si="11"/>
        <v>5</v>
      </c>
      <c r="I30" s="140">
        <f t="shared" si="11"/>
        <v>7</v>
      </c>
      <c r="J30" s="140">
        <f t="shared" si="11"/>
        <v>8</v>
      </c>
      <c r="K30" s="140">
        <f t="shared" si="11"/>
        <v>10</v>
      </c>
      <c r="L30" s="140">
        <f t="shared" si="11"/>
        <v>12</v>
      </c>
      <c r="M30" s="140">
        <f t="shared" si="11"/>
        <v>14</v>
      </c>
      <c r="N30" s="140">
        <f t="shared" si="11"/>
        <v>16</v>
      </c>
      <c r="O30" s="140">
        <f t="shared" si="11"/>
        <v>17</v>
      </c>
      <c r="R30" s="129" t="s">
        <v>427</v>
      </c>
      <c r="S30" s="139">
        <f t="shared" si="0"/>
        <v>0.67500000000000004</v>
      </c>
      <c r="T30" s="139">
        <f t="shared" si="1"/>
        <v>0.75</v>
      </c>
      <c r="U30" s="139">
        <f t="shared" si="2"/>
        <v>0.78749999999999998</v>
      </c>
      <c r="V30" s="139">
        <f t="shared" si="3"/>
        <v>0.72</v>
      </c>
      <c r="W30" s="139">
        <f t="shared" si="4"/>
        <v>0.75</v>
      </c>
      <c r="X30" s="139">
        <f t="shared" si="5"/>
        <v>0.77142857142857146</v>
      </c>
      <c r="Y30" s="139">
        <f t="shared" si="6"/>
        <v>0.78749999999999998</v>
      </c>
      <c r="Z30" s="139">
        <f t="shared" si="7"/>
        <v>0.8</v>
      </c>
      <c r="AA30" s="139">
        <f t="shared" si="8"/>
        <v>0.76500000000000001</v>
      </c>
    </row>
    <row r="31" spans="1:27" ht="26.1" customHeight="1">
      <c r="A31" s="96" t="s">
        <v>404</v>
      </c>
      <c r="B31" s="96" t="s">
        <v>428</v>
      </c>
      <c r="C31" s="96">
        <v>2</v>
      </c>
      <c r="D31" s="97">
        <v>240</v>
      </c>
      <c r="E31" s="109">
        <v>51</v>
      </c>
      <c r="F31" s="96" t="s">
        <v>516</v>
      </c>
      <c r="G31" s="140">
        <f t="shared" si="11"/>
        <v>3</v>
      </c>
      <c r="H31" s="140">
        <f t="shared" si="11"/>
        <v>4</v>
      </c>
      <c r="I31" s="140">
        <f t="shared" si="11"/>
        <v>6</v>
      </c>
      <c r="J31" s="140">
        <f t="shared" si="11"/>
        <v>7</v>
      </c>
      <c r="K31" s="140">
        <f t="shared" si="11"/>
        <v>9</v>
      </c>
      <c r="L31" s="140">
        <f t="shared" si="11"/>
        <v>10</v>
      </c>
      <c r="M31" s="140">
        <f t="shared" si="11"/>
        <v>12</v>
      </c>
      <c r="N31" s="140">
        <f t="shared" si="11"/>
        <v>14</v>
      </c>
      <c r="O31" s="140">
        <f t="shared" si="11"/>
        <v>15</v>
      </c>
      <c r="R31" s="129" t="s">
        <v>428</v>
      </c>
      <c r="S31" s="139">
        <f t="shared" si="0"/>
        <v>0.76500000000000001</v>
      </c>
      <c r="T31" s="139">
        <f t="shared" si="1"/>
        <v>0.68</v>
      </c>
      <c r="U31" s="139">
        <f t="shared" si="2"/>
        <v>0.76500000000000001</v>
      </c>
      <c r="V31" s="139">
        <f t="shared" si="3"/>
        <v>0.71399999999999997</v>
      </c>
      <c r="W31" s="139">
        <f t="shared" si="4"/>
        <v>0.76500000000000001</v>
      </c>
      <c r="X31" s="139">
        <f t="shared" si="5"/>
        <v>0.72857142857142854</v>
      </c>
      <c r="Y31" s="139">
        <f t="shared" si="6"/>
        <v>0.76500000000000001</v>
      </c>
      <c r="Z31" s="139">
        <f t="shared" si="7"/>
        <v>0.79333333333333333</v>
      </c>
      <c r="AA31" s="139">
        <f t="shared" si="8"/>
        <v>0.76500000000000001</v>
      </c>
    </row>
    <row r="32" spans="1:27" ht="26.1" customHeight="1">
      <c r="A32" s="96" t="s">
        <v>404</v>
      </c>
      <c r="B32" s="96" t="s">
        <v>429</v>
      </c>
      <c r="C32" s="96">
        <v>2</v>
      </c>
      <c r="D32" s="97">
        <v>300</v>
      </c>
      <c r="E32" s="109">
        <v>55</v>
      </c>
      <c r="F32" s="96" t="s">
        <v>516</v>
      </c>
      <c r="G32" s="140">
        <f t="shared" si="11"/>
        <v>2</v>
      </c>
      <c r="H32" s="140">
        <f t="shared" si="11"/>
        <v>4</v>
      </c>
      <c r="I32" s="140">
        <f t="shared" si="11"/>
        <v>5</v>
      </c>
      <c r="J32" s="140">
        <f t="shared" si="11"/>
        <v>7</v>
      </c>
      <c r="K32" s="140">
        <f t="shared" si="11"/>
        <v>8</v>
      </c>
      <c r="L32" s="140">
        <f t="shared" si="11"/>
        <v>10</v>
      </c>
      <c r="M32" s="140">
        <f t="shared" si="11"/>
        <v>11</v>
      </c>
      <c r="N32" s="140">
        <f t="shared" si="11"/>
        <v>13</v>
      </c>
      <c r="O32" s="140">
        <f t="shared" si="11"/>
        <v>14</v>
      </c>
      <c r="R32" s="129" t="s">
        <v>429</v>
      </c>
      <c r="S32" s="139">
        <f t="shared" si="0"/>
        <v>0.55000000000000004</v>
      </c>
      <c r="T32" s="139">
        <f t="shared" si="1"/>
        <v>0.73333333333333328</v>
      </c>
      <c r="U32" s="139">
        <f t="shared" si="2"/>
        <v>0.6875</v>
      </c>
      <c r="V32" s="139">
        <f t="shared" si="3"/>
        <v>0.77</v>
      </c>
      <c r="W32" s="139">
        <f t="shared" si="4"/>
        <v>0.73333333333333328</v>
      </c>
      <c r="X32" s="139">
        <f t="shared" si="5"/>
        <v>0.7857142857142857</v>
      </c>
      <c r="Y32" s="139">
        <f t="shared" si="6"/>
        <v>0.75624999999999998</v>
      </c>
      <c r="Z32" s="139">
        <f t="shared" si="7"/>
        <v>0.7944444444444444</v>
      </c>
      <c r="AA32" s="139">
        <f t="shared" si="8"/>
        <v>0.77</v>
      </c>
    </row>
    <row r="33" spans="1:27" ht="26.1" customHeight="1">
      <c r="A33" s="96" t="s">
        <v>404</v>
      </c>
      <c r="B33" s="96" t="s">
        <v>430</v>
      </c>
      <c r="C33" s="96">
        <v>2</v>
      </c>
      <c r="D33" s="97">
        <v>400</v>
      </c>
      <c r="E33" s="109">
        <v>62</v>
      </c>
      <c r="F33" s="96" t="s">
        <v>516</v>
      </c>
      <c r="G33" s="140">
        <f t="shared" si="11"/>
        <v>2</v>
      </c>
      <c r="H33" s="140">
        <f t="shared" si="11"/>
        <v>3</v>
      </c>
      <c r="I33" s="140">
        <f t="shared" si="11"/>
        <v>5</v>
      </c>
      <c r="J33" s="140">
        <f t="shared" si="11"/>
        <v>6</v>
      </c>
      <c r="K33" s="140">
        <f t="shared" si="11"/>
        <v>7</v>
      </c>
      <c r="L33" s="140">
        <f t="shared" si="11"/>
        <v>9</v>
      </c>
      <c r="M33" s="140">
        <f t="shared" si="11"/>
        <v>10</v>
      </c>
      <c r="N33" s="140">
        <f t="shared" si="11"/>
        <v>11</v>
      </c>
      <c r="O33" s="140">
        <f t="shared" si="11"/>
        <v>12</v>
      </c>
      <c r="R33" s="129" t="s">
        <v>430</v>
      </c>
      <c r="S33" s="139">
        <f t="shared" si="0"/>
        <v>0.62</v>
      </c>
      <c r="T33" s="139">
        <f t="shared" si="1"/>
        <v>0.62</v>
      </c>
      <c r="U33" s="139">
        <f t="shared" si="2"/>
        <v>0.77500000000000002</v>
      </c>
      <c r="V33" s="139">
        <f t="shared" si="3"/>
        <v>0.74399999999999999</v>
      </c>
      <c r="W33" s="139">
        <f t="shared" si="4"/>
        <v>0.72333333333333338</v>
      </c>
      <c r="X33" s="139">
        <f t="shared" si="5"/>
        <v>0.79714285714285715</v>
      </c>
      <c r="Y33" s="139">
        <f t="shared" si="6"/>
        <v>0.77500000000000002</v>
      </c>
      <c r="Z33" s="139">
        <f t="shared" si="7"/>
        <v>0.75777777777777777</v>
      </c>
      <c r="AA33" s="139">
        <f t="shared" si="8"/>
        <v>0.74399999999999999</v>
      </c>
    </row>
    <row r="34" spans="1:27" ht="26.1" customHeight="1">
      <c r="A34" s="96" t="s">
        <v>404</v>
      </c>
      <c r="B34" s="96" t="s">
        <v>431</v>
      </c>
      <c r="C34" s="96">
        <v>3</v>
      </c>
      <c r="D34" s="97">
        <v>10</v>
      </c>
      <c r="E34" s="109">
        <v>16</v>
      </c>
      <c r="F34" s="96" t="s">
        <v>516</v>
      </c>
      <c r="G34" s="140">
        <f t="shared" si="11"/>
        <v>10</v>
      </c>
      <c r="H34" s="140">
        <f t="shared" si="11"/>
        <v>15</v>
      </c>
      <c r="I34" s="140">
        <f t="shared" si="11"/>
        <v>20</v>
      </c>
      <c r="J34" s="140">
        <f t="shared" si="11"/>
        <v>25</v>
      </c>
      <c r="K34" s="140">
        <f t="shared" si="11"/>
        <v>30</v>
      </c>
      <c r="L34" s="140">
        <f t="shared" si="11"/>
        <v>35</v>
      </c>
      <c r="M34" s="140">
        <f t="shared" si="11"/>
        <v>40</v>
      </c>
      <c r="N34" s="140">
        <f t="shared" si="11"/>
        <v>45</v>
      </c>
      <c r="O34" s="140">
        <f t="shared" si="11"/>
        <v>50</v>
      </c>
      <c r="R34" s="129" t="s">
        <v>431</v>
      </c>
      <c r="S34" s="139">
        <f t="shared" si="0"/>
        <v>0.8</v>
      </c>
      <c r="T34" s="139">
        <f t="shared" si="1"/>
        <v>0.8</v>
      </c>
      <c r="U34" s="139">
        <f t="shared" si="2"/>
        <v>0.8</v>
      </c>
      <c r="V34" s="139">
        <f t="shared" si="3"/>
        <v>0.8</v>
      </c>
      <c r="W34" s="139">
        <f t="shared" si="4"/>
        <v>0.8</v>
      </c>
      <c r="X34" s="139">
        <f t="shared" si="5"/>
        <v>0.8</v>
      </c>
      <c r="Y34" s="139">
        <f t="shared" si="6"/>
        <v>0.8</v>
      </c>
      <c r="Z34" s="139">
        <f t="shared" si="7"/>
        <v>0.8</v>
      </c>
      <c r="AA34" s="139">
        <f t="shared" si="8"/>
        <v>0.8</v>
      </c>
    </row>
    <row r="35" spans="1:27" ht="26.1" customHeight="1">
      <c r="A35" s="96" t="s">
        <v>404</v>
      </c>
      <c r="B35" s="96" t="s">
        <v>432</v>
      </c>
      <c r="C35" s="96">
        <v>3</v>
      </c>
      <c r="D35" s="97">
        <v>16</v>
      </c>
      <c r="E35" s="109">
        <v>18</v>
      </c>
      <c r="F35" s="96" t="s">
        <v>516</v>
      </c>
      <c r="G35" s="140">
        <f t="shared" si="11"/>
        <v>8</v>
      </c>
      <c r="H35" s="140">
        <f t="shared" si="11"/>
        <v>13</v>
      </c>
      <c r="I35" s="140">
        <f t="shared" si="11"/>
        <v>17</v>
      </c>
      <c r="J35" s="140">
        <f t="shared" si="11"/>
        <v>22</v>
      </c>
      <c r="K35" s="140">
        <f t="shared" si="11"/>
        <v>26</v>
      </c>
      <c r="L35" s="140">
        <f t="shared" si="11"/>
        <v>31</v>
      </c>
      <c r="M35" s="140">
        <f t="shared" si="11"/>
        <v>35</v>
      </c>
      <c r="N35" s="140">
        <f t="shared" si="11"/>
        <v>40</v>
      </c>
      <c r="O35" s="140">
        <f t="shared" si="11"/>
        <v>44</v>
      </c>
      <c r="R35" s="129" t="s">
        <v>432</v>
      </c>
      <c r="S35" s="139">
        <f t="shared" si="0"/>
        <v>0.72</v>
      </c>
      <c r="T35" s="139">
        <f t="shared" si="1"/>
        <v>0.78</v>
      </c>
      <c r="U35" s="139">
        <f t="shared" si="2"/>
        <v>0.76500000000000001</v>
      </c>
      <c r="V35" s="139">
        <f t="shared" si="3"/>
        <v>0.79200000000000004</v>
      </c>
      <c r="W35" s="139">
        <f t="shared" si="4"/>
        <v>0.78</v>
      </c>
      <c r="X35" s="139">
        <f t="shared" si="5"/>
        <v>0.79714285714285715</v>
      </c>
      <c r="Y35" s="139">
        <f t="shared" si="6"/>
        <v>0.78749999999999998</v>
      </c>
      <c r="Z35" s="139">
        <f t="shared" si="7"/>
        <v>0.8</v>
      </c>
      <c r="AA35" s="139">
        <f t="shared" si="8"/>
        <v>0.79200000000000004</v>
      </c>
    </row>
    <row r="36" spans="1:27" ht="26.1" customHeight="1">
      <c r="A36" s="96" t="s">
        <v>404</v>
      </c>
      <c r="B36" s="96" t="s">
        <v>433</v>
      </c>
      <c r="C36" s="96">
        <v>3</v>
      </c>
      <c r="D36" s="97">
        <v>25</v>
      </c>
      <c r="E36" s="109">
        <v>22</v>
      </c>
      <c r="F36" s="96" t="s">
        <v>516</v>
      </c>
      <c r="G36" s="140">
        <f t="shared" si="11"/>
        <v>7</v>
      </c>
      <c r="H36" s="140">
        <f t="shared" si="11"/>
        <v>10</v>
      </c>
      <c r="I36" s="140">
        <f t="shared" si="11"/>
        <v>14</v>
      </c>
      <c r="J36" s="140">
        <f t="shared" si="11"/>
        <v>18</v>
      </c>
      <c r="K36" s="140">
        <f t="shared" si="11"/>
        <v>21</v>
      </c>
      <c r="L36" s="140">
        <f t="shared" si="11"/>
        <v>25</v>
      </c>
      <c r="M36" s="140">
        <f t="shared" si="11"/>
        <v>29</v>
      </c>
      <c r="N36" s="140">
        <f t="shared" si="11"/>
        <v>32</v>
      </c>
      <c r="O36" s="140">
        <f t="shared" si="11"/>
        <v>36</v>
      </c>
      <c r="R36" s="129" t="s">
        <v>433</v>
      </c>
      <c r="S36" s="139">
        <f t="shared" ref="S36:S59" si="12">IFERROR($G36*$E36/G$4,"")</f>
        <v>0.77</v>
      </c>
      <c r="T36" s="139">
        <f t="shared" ref="T36:T59" si="13">IFERROR($H36*$E36/H$4,"")</f>
        <v>0.73333333333333328</v>
      </c>
      <c r="U36" s="139">
        <f t="shared" ref="U36:U59" si="14">IFERROR($I36*$E36/I$4,"")</f>
        <v>0.77</v>
      </c>
      <c r="V36" s="139">
        <f t="shared" ref="V36:V59" si="15">IFERROR($J36*$E36/J$4,"")</f>
        <v>0.79200000000000004</v>
      </c>
      <c r="W36" s="139">
        <f t="shared" ref="W36:W59" si="16">IFERROR($K36*$E36/K$4,"")</f>
        <v>0.77</v>
      </c>
      <c r="X36" s="139">
        <f t="shared" ref="X36:X59" si="17">IFERROR($L36*$E36/L$4,"")</f>
        <v>0.7857142857142857</v>
      </c>
      <c r="Y36" s="139">
        <f t="shared" ref="Y36:Y59" si="18">IFERROR($M36*$E36/M$4,"")</f>
        <v>0.79749999999999999</v>
      </c>
      <c r="Z36" s="139">
        <f t="shared" ref="Z36:Z59" si="19">IFERROR($N36*$E36/N$4,"")</f>
        <v>0.78222222222222226</v>
      </c>
      <c r="AA36" s="139">
        <f t="shared" ref="AA36:AA59" si="20">IFERROR($O36*$E36/O$4,"")</f>
        <v>0.79200000000000004</v>
      </c>
    </row>
    <row r="37" spans="1:27" ht="26.1" customHeight="1">
      <c r="A37" s="96" t="s">
        <v>404</v>
      </c>
      <c r="B37" s="96" t="s">
        <v>434</v>
      </c>
      <c r="C37" s="96">
        <v>3</v>
      </c>
      <c r="D37" s="97">
        <v>35</v>
      </c>
      <c r="E37" s="109">
        <v>24</v>
      </c>
      <c r="F37" s="96" t="s">
        <v>516</v>
      </c>
      <c r="G37" s="140">
        <f t="shared" si="11"/>
        <v>6</v>
      </c>
      <c r="H37" s="140">
        <f t="shared" si="11"/>
        <v>10</v>
      </c>
      <c r="I37" s="140">
        <f t="shared" si="11"/>
        <v>13</v>
      </c>
      <c r="J37" s="140">
        <f t="shared" si="11"/>
        <v>16</v>
      </c>
      <c r="K37" s="140">
        <f t="shared" si="11"/>
        <v>20</v>
      </c>
      <c r="L37" s="140">
        <f t="shared" si="11"/>
        <v>23</v>
      </c>
      <c r="M37" s="140">
        <f t="shared" si="11"/>
        <v>26</v>
      </c>
      <c r="N37" s="140">
        <f t="shared" si="11"/>
        <v>30</v>
      </c>
      <c r="O37" s="140">
        <f t="shared" si="11"/>
        <v>33</v>
      </c>
      <c r="R37" s="129" t="s">
        <v>434</v>
      </c>
      <c r="S37" s="139">
        <f t="shared" si="12"/>
        <v>0.72</v>
      </c>
      <c r="T37" s="139">
        <f t="shared" si="13"/>
        <v>0.8</v>
      </c>
      <c r="U37" s="139">
        <f t="shared" si="14"/>
        <v>0.78</v>
      </c>
      <c r="V37" s="139">
        <f t="shared" si="15"/>
        <v>0.76800000000000002</v>
      </c>
      <c r="W37" s="139">
        <f t="shared" si="16"/>
        <v>0.8</v>
      </c>
      <c r="X37" s="139">
        <f t="shared" si="17"/>
        <v>0.78857142857142859</v>
      </c>
      <c r="Y37" s="139">
        <f t="shared" si="18"/>
        <v>0.78</v>
      </c>
      <c r="Z37" s="139">
        <f t="shared" si="19"/>
        <v>0.8</v>
      </c>
      <c r="AA37" s="139">
        <f t="shared" si="20"/>
        <v>0.79200000000000004</v>
      </c>
    </row>
    <row r="38" spans="1:27" ht="26.1" customHeight="1">
      <c r="A38" s="96" t="s">
        <v>404</v>
      </c>
      <c r="B38" s="96" t="s">
        <v>435</v>
      </c>
      <c r="C38" s="96">
        <v>3</v>
      </c>
      <c r="D38" s="97">
        <v>50</v>
      </c>
      <c r="E38" s="109">
        <v>27</v>
      </c>
      <c r="F38" s="96" t="s">
        <v>516</v>
      </c>
      <c r="G38" s="140">
        <f t="shared" ref="G38:O47" si="21">INT(G$4/(1.25*$E38))</f>
        <v>5</v>
      </c>
      <c r="H38" s="140">
        <f t="shared" si="21"/>
        <v>8</v>
      </c>
      <c r="I38" s="140">
        <f t="shared" si="21"/>
        <v>11</v>
      </c>
      <c r="J38" s="140">
        <f t="shared" si="21"/>
        <v>14</v>
      </c>
      <c r="K38" s="140">
        <f t="shared" si="21"/>
        <v>17</v>
      </c>
      <c r="L38" s="140">
        <f t="shared" si="21"/>
        <v>20</v>
      </c>
      <c r="M38" s="140">
        <f t="shared" si="21"/>
        <v>23</v>
      </c>
      <c r="N38" s="140">
        <f t="shared" si="21"/>
        <v>26</v>
      </c>
      <c r="O38" s="140">
        <f t="shared" si="21"/>
        <v>29</v>
      </c>
      <c r="R38" s="129" t="s">
        <v>435</v>
      </c>
      <c r="S38" s="139">
        <f t="shared" si="12"/>
        <v>0.67500000000000004</v>
      </c>
      <c r="T38" s="139">
        <f t="shared" si="13"/>
        <v>0.72</v>
      </c>
      <c r="U38" s="139">
        <f t="shared" si="14"/>
        <v>0.74250000000000005</v>
      </c>
      <c r="V38" s="139">
        <f t="shared" si="15"/>
        <v>0.75600000000000001</v>
      </c>
      <c r="W38" s="139">
        <f t="shared" si="16"/>
        <v>0.76500000000000001</v>
      </c>
      <c r="X38" s="139">
        <f t="shared" si="17"/>
        <v>0.77142857142857146</v>
      </c>
      <c r="Y38" s="139">
        <f t="shared" si="18"/>
        <v>0.77625</v>
      </c>
      <c r="Z38" s="139">
        <f t="shared" si="19"/>
        <v>0.78</v>
      </c>
      <c r="AA38" s="139">
        <f t="shared" si="20"/>
        <v>0.78300000000000003</v>
      </c>
    </row>
    <row r="39" spans="1:27" ht="26.1" customHeight="1">
      <c r="A39" s="96" t="s">
        <v>404</v>
      </c>
      <c r="B39" s="96" t="s">
        <v>436</v>
      </c>
      <c r="C39" s="96">
        <v>3</v>
      </c>
      <c r="D39" s="97">
        <v>70</v>
      </c>
      <c r="E39" s="109">
        <v>32</v>
      </c>
      <c r="F39" s="96" t="s">
        <v>516</v>
      </c>
      <c r="G39" s="140">
        <f t="shared" si="21"/>
        <v>5</v>
      </c>
      <c r="H39" s="140">
        <f t="shared" si="21"/>
        <v>7</v>
      </c>
      <c r="I39" s="140">
        <f t="shared" si="21"/>
        <v>10</v>
      </c>
      <c r="J39" s="140">
        <f t="shared" si="21"/>
        <v>12</v>
      </c>
      <c r="K39" s="140">
        <f t="shared" si="21"/>
        <v>15</v>
      </c>
      <c r="L39" s="140">
        <f t="shared" si="21"/>
        <v>17</v>
      </c>
      <c r="M39" s="140">
        <f t="shared" si="21"/>
        <v>20</v>
      </c>
      <c r="N39" s="140">
        <f t="shared" si="21"/>
        <v>22</v>
      </c>
      <c r="O39" s="140">
        <f t="shared" si="21"/>
        <v>25</v>
      </c>
      <c r="R39" s="129" t="s">
        <v>436</v>
      </c>
      <c r="S39" s="139">
        <f t="shared" si="12"/>
        <v>0.8</v>
      </c>
      <c r="T39" s="139">
        <f t="shared" si="13"/>
        <v>0.7466666666666667</v>
      </c>
      <c r="U39" s="139">
        <f t="shared" si="14"/>
        <v>0.8</v>
      </c>
      <c r="V39" s="139">
        <f t="shared" si="15"/>
        <v>0.76800000000000002</v>
      </c>
      <c r="W39" s="139">
        <f t="shared" si="16"/>
        <v>0.8</v>
      </c>
      <c r="X39" s="139">
        <f t="shared" si="17"/>
        <v>0.77714285714285714</v>
      </c>
      <c r="Y39" s="139">
        <f t="shared" si="18"/>
        <v>0.8</v>
      </c>
      <c r="Z39" s="139">
        <f t="shared" si="19"/>
        <v>0.78222222222222226</v>
      </c>
      <c r="AA39" s="139">
        <f t="shared" si="20"/>
        <v>0.8</v>
      </c>
    </row>
    <row r="40" spans="1:27" ht="26.1" customHeight="1">
      <c r="A40" s="96" t="s">
        <v>404</v>
      </c>
      <c r="B40" s="96" t="s">
        <v>437</v>
      </c>
      <c r="C40" s="96">
        <v>3</v>
      </c>
      <c r="D40" s="97">
        <v>95</v>
      </c>
      <c r="E40" s="109">
        <v>36</v>
      </c>
      <c r="F40" s="96" t="s">
        <v>516</v>
      </c>
      <c r="G40" s="140">
        <f t="shared" si="21"/>
        <v>4</v>
      </c>
      <c r="H40" s="140">
        <f t="shared" si="21"/>
        <v>6</v>
      </c>
      <c r="I40" s="140">
        <f t="shared" si="21"/>
        <v>8</v>
      </c>
      <c r="J40" s="140">
        <f t="shared" si="21"/>
        <v>11</v>
      </c>
      <c r="K40" s="140">
        <f t="shared" si="21"/>
        <v>13</v>
      </c>
      <c r="L40" s="140">
        <f t="shared" si="21"/>
        <v>15</v>
      </c>
      <c r="M40" s="140">
        <f t="shared" si="21"/>
        <v>17</v>
      </c>
      <c r="N40" s="140">
        <f t="shared" si="21"/>
        <v>20</v>
      </c>
      <c r="O40" s="140">
        <f t="shared" si="21"/>
        <v>22</v>
      </c>
      <c r="R40" s="129" t="s">
        <v>437</v>
      </c>
      <c r="S40" s="139">
        <f t="shared" si="12"/>
        <v>0.72</v>
      </c>
      <c r="T40" s="139">
        <f t="shared" si="13"/>
        <v>0.72</v>
      </c>
      <c r="U40" s="139">
        <f t="shared" si="14"/>
        <v>0.72</v>
      </c>
      <c r="V40" s="139">
        <f t="shared" si="15"/>
        <v>0.79200000000000004</v>
      </c>
      <c r="W40" s="139">
        <f t="shared" si="16"/>
        <v>0.78</v>
      </c>
      <c r="X40" s="139">
        <f t="shared" si="17"/>
        <v>0.77142857142857146</v>
      </c>
      <c r="Y40" s="139">
        <f t="shared" si="18"/>
        <v>0.76500000000000001</v>
      </c>
      <c r="Z40" s="139">
        <f t="shared" si="19"/>
        <v>0.8</v>
      </c>
      <c r="AA40" s="139">
        <f t="shared" si="20"/>
        <v>0.79200000000000004</v>
      </c>
    </row>
    <row r="41" spans="1:27" ht="26.1" customHeight="1">
      <c r="A41" s="96" t="s">
        <v>404</v>
      </c>
      <c r="B41" s="96" t="s">
        <v>438</v>
      </c>
      <c r="C41" s="96">
        <v>3</v>
      </c>
      <c r="D41" s="97">
        <v>120</v>
      </c>
      <c r="E41" s="109">
        <v>39</v>
      </c>
      <c r="F41" s="96" t="s">
        <v>516</v>
      </c>
      <c r="G41" s="140">
        <f t="shared" si="21"/>
        <v>4</v>
      </c>
      <c r="H41" s="140">
        <f t="shared" si="21"/>
        <v>6</v>
      </c>
      <c r="I41" s="140">
        <f t="shared" si="21"/>
        <v>8</v>
      </c>
      <c r="J41" s="140">
        <f t="shared" si="21"/>
        <v>10</v>
      </c>
      <c r="K41" s="140">
        <f t="shared" si="21"/>
        <v>12</v>
      </c>
      <c r="L41" s="140">
        <f t="shared" si="21"/>
        <v>14</v>
      </c>
      <c r="M41" s="140">
        <f t="shared" si="21"/>
        <v>16</v>
      </c>
      <c r="N41" s="140">
        <f t="shared" si="21"/>
        <v>18</v>
      </c>
      <c r="O41" s="140">
        <f t="shared" si="21"/>
        <v>20</v>
      </c>
      <c r="R41" s="129" t="s">
        <v>438</v>
      </c>
      <c r="S41" s="139">
        <f t="shared" si="12"/>
        <v>0.78</v>
      </c>
      <c r="T41" s="139">
        <f t="shared" si="13"/>
        <v>0.78</v>
      </c>
      <c r="U41" s="139">
        <f t="shared" si="14"/>
        <v>0.78</v>
      </c>
      <c r="V41" s="139">
        <f t="shared" si="15"/>
        <v>0.78</v>
      </c>
      <c r="W41" s="139">
        <f t="shared" si="16"/>
        <v>0.78</v>
      </c>
      <c r="X41" s="139">
        <f t="shared" si="17"/>
        <v>0.78</v>
      </c>
      <c r="Y41" s="139">
        <f t="shared" si="18"/>
        <v>0.78</v>
      </c>
      <c r="Z41" s="139">
        <f t="shared" si="19"/>
        <v>0.78</v>
      </c>
      <c r="AA41" s="139">
        <f t="shared" si="20"/>
        <v>0.78</v>
      </c>
    </row>
    <row r="42" spans="1:27" ht="26.1" customHeight="1">
      <c r="A42" s="96" t="s">
        <v>404</v>
      </c>
      <c r="B42" s="96" t="s">
        <v>439</v>
      </c>
      <c r="C42" s="96">
        <v>3</v>
      </c>
      <c r="D42" s="97">
        <v>150</v>
      </c>
      <c r="E42" s="109">
        <v>43</v>
      </c>
      <c r="F42" s="96" t="s">
        <v>516</v>
      </c>
      <c r="G42" s="140">
        <f t="shared" si="21"/>
        <v>3</v>
      </c>
      <c r="H42" s="140">
        <f t="shared" si="21"/>
        <v>5</v>
      </c>
      <c r="I42" s="140">
        <f t="shared" si="21"/>
        <v>7</v>
      </c>
      <c r="J42" s="140">
        <f t="shared" si="21"/>
        <v>9</v>
      </c>
      <c r="K42" s="140">
        <f t="shared" si="21"/>
        <v>11</v>
      </c>
      <c r="L42" s="140">
        <f t="shared" si="21"/>
        <v>13</v>
      </c>
      <c r="M42" s="140">
        <f t="shared" si="21"/>
        <v>14</v>
      </c>
      <c r="N42" s="140">
        <f t="shared" si="21"/>
        <v>16</v>
      </c>
      <c r="O42" s="140">
        <f t="shared" si="21"/>
        <v>18</v>
      </c>
      <c r="R42" s="129" t="s">
        <v>439</v>
      </c>
      <c r="S42" s="139">
        <f t="shared" si="12"/>
        <v>0.64500000000000002</v>
      </c>
      <c r="T42" s="139">
        <f t="shared" si="13"/>
        <v>0.71666666666666667</v>
      </c>
      <c r="U42" s="139">
        <f t="shared" si="14"/>
        <v>0.75249999999999995</v>
      </c>
      <c r="V42" s="139">
        <f t="shared" si="15"/>
        <v>0.77400000000000002</v>
      </c>
      <c r="W42" s="139">
        <f t="shared" si="16"/>
        <v>0.78833333333333333</v>
      </c>
      <c r="X42" s="139">
        <f t="shared" si="17"/>
        <v>0.7985714285714286</v>
      </c>
      <c r="Y42" s="139">
        <f t="shared" si="18"/>
        <v>0.75249999999999995</v>
      </c>
      <c r="Z42" s="139">
        <f t="shared" si="19"/>
        <v>0.76444444444444448</v>
      </c>
      <c r="AA42" s="139">
        <f t="shared" si="20"/>
        <v>0.77400000000000002</v>
      </c>
    </row>
    <row r="43" spans="1:27" ht="26.1" customHeight="1">
      <c r="A43" s="96" t="s">
        <v>404</v>
      </c>
      <c r="B43" s="96" t="s">
        <v>440</v>
      </c>
      <c r="C43" s="96">
        <v>3</v>
      </c>
      <c r="D43" s="97">
        <v>185</v>
      </c>
      <c r="E43" s="109">
        <v>48</v>
      </c>
      <c r="F43" s="96" t="s">
        <v>516</v>
      </c>
      <c r="G43" s="140">
        <f t="shared" si="21"/>
        <v>3</v>
      </c>
      <c r="H43" s="140">
        <f t="shared" si="21"/>
        <v>5</v>
      </c>
      <c r="I43" s="140">
        <f t="shared" si="21"/>
        <v>6</v>
      </c>
      <c r="J43" s="140">
        <f t="shared" si="21"/>
        <v>8</v>
      </c>
      <c r="K43" s="140">
        <f t="shared" si="21"/>
        <v>10</v>
      </c>
      <c r="L43" s="140">
        <f t="shared" si="21"/>
        <v>11</v>
      </c>
      <c r="M43" s="140">
        <f t="shared" si="21"/>
        <v>13</v>
      </c>
      <c r="N43" s="140">
        <f t="shared" si="21"/>
        <v>15</v>
      </c>
      <c r="O43" s="140">
        <f t="shared" si="21"/>
        <v>16</v>
      </c>
      <c r="R43" s="129" t="s">
        <v>440</v>
      </c>
      <c r="S43" s="139">
        <f t="shared" si="12"/>
        <v>0.72</v>
      </c>
      <c r="T43" s="139">
        <f t="shared" si="13"/>
        <v>0.8</v>
      </c>
      <c r="U43" s="139">
        <f t="shared" si="14"/>
        <v>0.72</v>
      </c>
      <c r="V43" s="139">
        <f t="shared" si="15"/>
        <v>0.76800000000000002</v>
      </c>
      <c r="W43" s="139">
        <f t="shared" si="16"/>
        <v>0.8</v>
      </c>
      <c r="X43" s="139">
        <f t="shared" si="17"/>
        <v>0.75428571428571434</v>
      </c>
      <c r="Y43" s="139">
        <f t="shared" si="18"/>
        <v>0.78</v>
      </c>
      <c r="Z43" s="139">
        <f t="shared" si="19"/>
        <v>0.8</v>
      </c>
      <c r="AA43" s="139">
        <f t="shared" si="20"/>
        <v>0.76800000000000002</v>
      </c>
    </row>
    <row r="44" spans="1:27" ht="26.1" customHeight="1">
      <c r="A44" s="96" t="s">
        <v>404</v>
      </c>
      <c r="B44" s="96" t="s">
        <v>441</v>
      </c>
      <c r="C44" s="96">
        <v>3</v>
      </c>
      <c r="D44" s="97">
        <v>240</v>
      </c>
      <c r="E44" s="109">
        <v>54</v>
      </c>
      <c r="F44" s="96" t="s">
        <v>516</v>
      </c>
      <c r="G44" s="140">
        <f t="shared" si="21"/>
        <v>2</v>
      </c>
      <c r="H44" s="140">
        <f t="shared" si="21"/>
        <v>4</v>
      </c>
      <c r="I44" s="140">
        <f t="shared" si="21"/>
        <v>5</v>
      </c>
      <c r="J44" s="140">
        <f t="shared" si="21"/>
        <v>7</v>
      </c>
      <c r="K44" s="140">
        <f t="shared" si="21"/>
        <v>8</v>
      </c>
      <c r="L44" s="140">
        <f t="shared" si="21"/>
        <v>10</v>
      </c>
      <c r="M44" s="140">
        <f t="shared" si="21"/>
        <v>11</v>
      </c>
      <c r="N44" s="140">
        <f t="shared" si="21"/>
        <v>13</v>
      </c>
      <c r="O44" s="140">
        <f t="shared" si="21"/>
        <v>14</v>
      </c>
      <c r="R44" s="129" t="s">
        <v>441</v>
      </c>
      <c r="S44" s="139">
        <f t="shared" si="12"/>
        <v>0.54</v>
      </c>
      <c r="T44" s="139">
        <f t="shared" si="13"/>
        <v>0.72</v>
      </c>
      <c r="U44" s="139">
        <f t="shared" si="14"/>
        <v>0.67500000000000004</v>
      </c>
      <c r="V44" s="139">
        <f t="shared" si="15"/>
        <v>0.75600000000000001</v>
      </c>
      <c r="W44" s="139">
        <f t="shared" si="16"/>
        <v>0.72</v>
      </c>
      <c r="X44" s="139">
        <f t="shared" si="17"/>
        <v>0.77142857142857146</v>
      </c>
      <c r="Y44" s="139">
        <f t="shared" si="18"/>
        <v>0.74250000000000005</v>
      </c>
      <c r="Z44" s="139">
        <f t="shared" si="19"/>
        <v>0.78</v>
      </c>
      <c r="AA44" s="139">
        <f t="shared" si="20"/>
        <v>0.75600000000000001</v>
      </c>
    </row>
    <row r="45" spans="1:27" ht="26.1" customHeight="1">
      <c r="A45" s="96" t="s">
        <v>404</v>
      </c>
      <c r="B45" s="96" t="s">
        <v>442</v>
      </c>
      <c r="C45" s="96">
        <v>3</v>
      </c>
      <c r="D45" s="97">
        <v>300</v>
      </c>
      <c r="E45" s="109">
        <v>59</v>
      </c>
      <c r="F45" s="96" t="s">
        <v>516</v>
      </c>
      <c r="G45" s="140">
        <f t="shared" si="21"/>
        <v>2</v>
      </c>
      <c r="H45" s="140">
        <f t="shared" si="21"/>
        <v>4</v>
      </c>
      <c r="I45" s="140">
        <f t="shared" si="21"/>
        <v>5</v>
      </c>
      <c r="J45" s="140">
        <f t="shared" si="21"/>
        <v>6</v>
      </c>
      <c r="K45" s="140">
        <f t="shared" si="21"/>
        <v>8</v>
      </c>
      <c r="L45" s="140">
        <f t="shared" si="21"/>
        <v>9</v>
      </c>
      <c r="M45" s="140">
        <f t="shared" si="21"/>
        <v>10</v>
      </c>
      <c r="N45" s="140">
        <f t="shared" si="21"/>
        <v>12</v>
      </c>
      <c r="O45" s="140">
        <f t="shared" si="21"/>
        <v>13</v>
      </c>
      <c r="R45" s="129" t="s">
        <v>442</v>
      </c>
      <c r="S45" s="139">
        <f t="shared" si="12"/>
        <v>0.59</v>
      </c>
      <c r="T45" s="139">
        <f t="shared" si="13"/>
        <v>0.78666666666666663</v>
      </c>
      <c r="U45" s="139">
        <f t="shared" si="14"/>
        <v>0.73750000000000004</v>
      </c>
      <c r="V45" s="139">
        <f t="shared" si="15"/>
        <v>0.70799999999999996</v>
      </c>
      <c r="W45" s="139">
        <f t="shared" si="16"/>
        <v>0.78666666666666663</v>
      </c>
      <c r="X45" s="139">
        <f t="shared" si="17"/>
        <v>0.75857142857142856</v>
      </c>
      <c r="Y45" s="139">
        <f t="shared" si="18"/>
        <v>0.73750000000000004</v>
      </c>
      <c r="Z45" s="139">
        <f t="shared" si="19"/>
        <v>0.78666666666666663</v>
      </c>
      <c r="AA45" s="139">
        <f t="shared" si="20"/>
        <v>0.76700000000000002</v>
      </c>
    </row>
    <row r="46" spans="1:27" ht="26.1" customHeight="1">
      <c r="A46" s="96" t="s">
        <v>404</v>
      </c>
      <c r="B46" s="96" t="s">
        <v>443</v>
      </c>
      <c r="C46" s="96">
        <v>3</v>
      </c>
      <c r="D46" s="97">
        <v>400</v>
      </c>
      <c r="E46" s="109">
        <v>66</v>
      </c>
      <c r="F46" s="96" t="s">
        <v>516</v>
      </c>
      <c r="G46" s="140">
        <f t="shared" si="21"/>
        <v>2</v>
      </c>
      <c r="H46" s="140">
        <f t="shared" si="21"/>
        <v>3</v>
      </c>
      <c r="I46" s="140">
        <f t="shared" si="21"/>
        <v>4</v>
      </c>
      <c r="J46" s="140">
        <f t="shared" si="21"/>
        <v>6</v>
      </c>
      <c r="K46" s="140">
        <f t="shared" si="21"/>
        <v>7</v>
      </c>
      <c r="L46" s="140">
        <f t="shared" si="21"/>
        <v>8</v>
      </c>
      <c r="M46" s="140">
        <f t="shared" si="21"/>
        <v>9</v>
      </c>
      <c r="N46" s="140">
        <f t="shared" si="21"/>
        <v>10</v>
      </c>
      <c r="O46" s="140">
        <f t="shared" si="21"/>
        <v>12</v>
      </c>
      <c r="R46" s="129" t="s">
        <v>443</v>
      </c>
      <c r="S46" s="139">
        <f t="shared" si="12"/>
        <v>0.66</v>
      </c>
      <c r="T46" s="139">
        <f t="shared" si="13"/>
        <v>0.66</v>
      </c>
      <c r="U46" s="139">
        <f t="shared" si="14"/>
        <v>0.66</v>
      </c>
      <c r="V46" s="139">
        <f t="shared" si="15"/>
        <v>0.79200000000000004</v>
      </c>
      <c r="W46" s="139">
        <f t="shared" si="16"/>
        <v>0.77</v>
      </c>
      <c r="X46" s="139">
        <f t="shared" si="17"/>
        <v>0.75428571428571434</v>
      </c>
      <c r="Y46" s="139">
        <f t="shared" si="18"/>
        <v>0.74250000000000005</v>
      </c>
      <c r="Z46" s="139">
        <f t="shared" si="19"/>
        <v>0.73333333333333328</v>
      </c>
      <c r="AA46" s="139">
        <f t="shared" si="20"/>
        <v>0.79200000000000004</v>
      </c>
    </row>
    <row r="47" spans="1:27" ht="26.1" customHeight="1">
      <c r="A47" s="96" t="s">
        <v>404</v>
      </c>
      <c r="B47" s="96" t="s">
        <v>444</v>
      </c>
      <c r="C47" s="96">
        <v>4</v>
      </c>
      <c r="D47" s="97">
        <v>10</v>
      </c>
      <c r="E47" s="109">
        <v>18</v>
      </c>
      <c r="F47" s="96" t="s">
        <v>516</v>
      </c>
      <c r="G47" s="140">
        <f t="shared" si="21"/>
        <v>8</v>
      </c>
      <c r="H47" s="140">
        <f t="shared" si="21"/>
        <v>13</v>
      </c>
      <c r="I47" s="140">
        <f t="shared" si="21"/>
        <v>17</v>
      </c>
      <c r="J47" s="140">
        <f t="shared" si="21"/>
        <v>22</v>
      </c>
      <c r="K47" s="140">
        <f t="shared" si="21"/>
        <v>26</v>
      </c>
      <c r="L47" s="140">
        <f t="shared" si="21"/>
        <v>31</v>
      </c>
      <c r="M47" s="140">
        <f t="shared" si="21"/>
        <v>35</v>
      </c>
      <c r="N47" s="140">
        <f t="shared" si="21"/>
        <v>40</v>
      </c>
      <c r="O47" s="140">
        <f t="shared" si="21"/>
        <v>44</v>
      </c>
      <c r="R47" s="129" t="s">
        <v>444</v>
      </c>
      <c r="S47" s="139">
        <f t="shared" si="12"/>
        <v>0.72</v>
      </c>
      <c r="T47" s="139">
        <f t="shared" si="13"/>
        <v>0.78</v>
      </c>
      <c r="U47" s="139">
        <f t="shared" si="14"/>
        <v>0.76500000000000001</v>
      </c>
      <c r="V47" s="139">
        <f t="shared" si="15"/>
        <v>0.79200000000000004</v>
      </c>
      <c r="W47" s="139">
        <f t="shared" si="16"/>
        <v>0.78</v>
      </c>
      <c r="X47" s="139">
        <f t="shared" si="17"/>
        <v>0.79714285714285715</v>
      </c>
      <c r="Y47" s="139">
        <f t="shared" si="18"/>
        <v>0.78749999999999998</v>
      </c>
      <c r="Z47" s="139">
        <f t="shared" si="19"/>
        <v>0.8</v>
      </c>
      <c r="AA47" s="139">
        <f t="shared" si="20"/>
        <v>0.79200000000000004</v>
      </c>
    </row>
    <row r="48" spans="1:27" ht="26.1" customHeight="1">
      <c r="A48" s="96" t="s">
        <v>404</v>
      </c>
      <c r="B48" s="96" t="s">
        <v>445</v>
      </c>
      <c r="C48" s="96">
        <v>4</v>
      </c>
      <c r="D48" s="97">
        <v>16</v>
      </c>
      <c r="E48" s="109">
        <v>20</v>
      </c>
      <c r="F48" s="96" t="s">
        <v>516</v>
      </c>
      <c r="G48" s="140">
        <f t="shared" ref="G48:O59" si="22">INT(G$4/(1.25*$E48))</f>
        <v>8</v>
      </c>
      <c r="H48" s="140">
        <f t="shared" si="22"/>
        <v>12</v>
      </c>
      <c r="I48" s="140">
        <f t="shared" si="22"/>
        <v>16</v>
      </c>
      <c r="J48" s="140">
        <f t="shared" si="22"/>
        <v>20</v>
      </c>
      <c r="K48" s="140">
        <f t="shared" si="22"/>
        <v>24</v>
      </c>
      <c r="L48" s="140">
        <f t="shared" si="22"/>
        <v>28</v>
      </c>
      <c r="M48" s="140">
        <f t="shared" si="22"/>
        <v>32</v>
      </c>
      <c r="N48" s="140">
        <f t="shared" si="22"/>
        <v>36</v>
      </c>
      <c r="O48" s="140">
        <f t="shared" si="22"/>
        <v>40</v>
      </c>
      <c r="R48" s="129" t="s">
        <v>445</v>
      </c>
      <c r="S48" s="139">
        <f t="shared" si="12"/>
        <v>0.8</v>
      </c>
      <c r="T48" s="139">
        <f t="shared" si="13"/>
        <v>0.8</v>
      </c>
      <c r="U48" s="139">
        <f t="shared" si="14"/>
        <v>0.8</v>
      </c>
      <c r="V48" s="139">
        <f t="shared" si="15"/>
        <v>0.8</v>
      </c>
      <c r="W48" s="139">
        <f t="shared" si="16"/>
        <v>0.8</v>
      </c>
      <c r="X48" s="139">
        <f t="shared" si="17"/>
        <v>0.8</v>
      </c>
      <c r="Y48" s="139">
        <f t="shared" si="18"/>
        <v>0.8</v>
      </c>
      <c r="Z48" s="139">
        <f t="shared" si="19"/>
        <v>0.8</v>
      </c>
      <c r="AA48" s="139">
        <f t="shared" si="20"/>
        <v>0.8</v>
      </c>
    </row>
    <row r="49" spans="1:27" ht="26.1" customHeight="1">
      <c r="A49" s="96" t="s">
        <v>404</v>
      </c>
      <c r="B49" s="96" t="s">
        <v>446</v>
      </c>
      <c r="C49" s="96">
        <v>4</v>
      </c>
      <c r="D49" s="97">
        <v>25</v>
      </c>
      <c r="E49" s="109">
        <v>24</v>
      </c>
      <c r="F49" s="96" t="s">
        <v>516</v>
      </c>
      <c r="G49" s="140">
        <f t="shared" si="22"/>
        <v>6</v>
      </c>
      <c r="H49" s="140">
        <f t="shared" si="22"/>
        <v>10</v>
      </c>
      <c r="I49" s="140">
        <f t="shared" si="22"/>
        <v>13</v>
      </c>
      <c r="J49" s="140">
        <f t="shared" si="22"/>
        <v>16</v>
      </c>
      <c r="K49" s="140">
        <f t="shared" si="22"/>
        <v>20</v>
      </c>
      <c r="L49" s="140">
        <f t="shared" si="22"/>
        <v>23</v>
      </c>
      <c r="M49" s="140">
        <f t="shared" si="22"/>
        <v>26</v>
      </c>
      <c r="N49" s="140">
        <f t="shared" si="22"/>
        <v>30</v>
      </c>
      <c r="O49" s="140">
        <f t="shared" si="22"/>
        <v>33</v>
      </c>
      <c r="R49" s="129" t="s">
        <v>446</v>
      </c>
      <c r="S49" s="139">
        <f t="shared" si="12"/>
        <v>0.72</v>
      </c>
      <c r="T49" s="139">
        <f t="shared" si="13"/>
        <v>0.8</v>
      </c>
      <c r="U49" s="139">
        <f t="shared" si="14"/>
        <v>0.78</v>
      </c>
      <c r="V49" s="139">
        <f t="shared" si="15"/>
        <v>0.76800000000000002</v>
      </c>
      <c r="W49" s="139">
        <f t="shared" si="16"/>
        <v>0.8</v>
      </c>
      <c r="X49" s="139">
        <f t="shared" si="17"/>
        <v>0.78857142857142859</v>
      </c>
      <c r="Y49" s="139">
        <f t="shared" si="18"/>
        <v>0.78</v>
      </c>
      <c r="Z49" s="139">
        <f t="shared" si="19"/>
        <v>0.8</v>
      </c>
      <c r="AA49" s="139">
        <f t="shared" si="20"/>
        <v>0.79200000000000004</v>
      </c>
    </row>
    <row r="50" spans="1:27" ht="26.1" customHeight="1">
      <c r="A50" s="96" t="s">
        <v>404</v>
      </c>
      <c r="B50" s="96" t="s">
        <v>447</v>
      </c>
      <c r="C50" s="96">
        <v>4</v>
      </c>
      <c r="D50" s="97">
        <v>35</v>
      </c>
      <c r="E50" s="109">
        <v>27</v>
      </c>
      <c r="F50" s="96" t="s">
        <v>516</v>
      </c>
      <c r="G50" s="140">
        <f t="shared" si="22"/>
        <v>5</v>
      </c>
      <c r="H50" s="140">
        <f t="shared" si="22"/>
        <v>8</v>
      </c>
      <c r="I50" s="140">
        <f t="shared" si="22"/>
        <v>11</v>
      </c>
      <c r="J50" s="140">
        <f t="shared" si="22"/>
        <v>14</v>
      </c>
      <c r="K50" s="140">
        <f t="shared" si="22"/>
        <v>17</v>
      </c>
      <c r="L50" s="140">
        <f t="shared" si="22"/>
        <v>20</v>
      </c>
      <c r="M50" s="140">
        <f t="shared" si="22"/>
        <v>23</v>
      </c>
      <c r="N50" s="140">
        <f t="shared" si="22"/>
        <v>26</v>
      </c>
      <c r="O50" s="140">
        <f t="shared" si="22"/>
        <v>29</v>
      </c>
      <c r="R50" s="129" t="s">
        <v>447</v>
      </c>
      <c r="S50" s="139">
        <f t="shared" si="12"/>
        <v>0.67500000000000004</v>
      </c>
      <c r="T50" s="139">
        <f t="shared" si="13"/>
        <v>0.72</v>
      </c>
      <c r="U50" s="139">
        <f t="shared" si="14"/>
        <v>0.74250000000000005</v>
      </c>
      <c r="V50" s="139">
        <f t="shared" si="15"/>
        <v>0.75600000000000001</v>
      </c>
      <c r="W50" s="139">
        <f t="shared" si="16"/>
        <v>0.76500000000000001</v>
      </c>
      <c r="X50" s="139">
        <f t="shared" si="17"/>
        <v>0.77142857142857146</v>
      </c>
      <c r="Y50" s="139">
        <f t="shared" si="18"/>
        <v>0.77625</v>
      </c>
      <c r="Z50" s="139">
        <f t="shared" si="19"/>
        <v>0.78</v>
      </c>
      <c r="AA50" s="139">
        <f t="shared" si="20"/>
        <v>0.78300000000000003</v>
      </c>
    </row>
    <row r="51" spans="1:27" ht="26.1" customHeight="1">
      <c r="A51" s="96" t="s">
        <v>404</v>
      </c>
      <c r="B51" s="96" t="s">
        <v>448</v>
      </c>
      <c r="C51" s="96">
        <v>4</v>
      </c>
      <c r="D51" s="97">
        <v>50</v>
      </c>
      <c r="E51" s="109">
        <v>30</v>
      </c>
      <c r="F51" s="96" t="s">
        <v>516</v>
      </c>
      <c r="G51" s="140">
        <f t="shared" si="22"/>
        <v>5</v>
      </c>
      <c r="H51" s="140">
        <f t="shared" si="22"/>
        <v>8</v>
      </c>
      <c r="I51" s="140">
        <f t="shared" si="22"/>
        <v>10</v>
      </c>
      <c r="J51" s="140">
        <f t="shared" si="22"/>
        <v>13</v>
      </c>
      <c r="K51" s="140">
        <f t="shared" si="22"/>
        <v>16</v>
      </c>
      <c r="L51" s="140">
        <f t="shared" si="22"/>
        <v>18</v>
      </c>
      <c r="M51" s="140">
        <f t="shared" si="22"/>
        <v>21</v>
      </c>
      <c r="N51" s="140">
        <f t="shared" si="22"/>
        <v>24</v>
      </c>
      <c r="O51" s="140">
        <f t="shared" si="22"/>
        <v>26</v>
      </c>
      <c r="R51" s="129" t="s">
        <v>448</v>
      </c>
      <c r="S51" s="139">
        <f t="shared" si="12"/>
        <v>0.75</v>
      </c>
      <c r="T51" s="139">
        <f t="shared" si="13"/>
        <v>0.8</v>
      </c>
      <c r="U51" s="139">
        <f t="shared" si="14"/>
        <v>0.75</v>
      </c>
      <c r="V51" s="139">
        <f t="shared" si="15"/>
        <v>0.78</v>
      </c>
      <c r="W51" s="139">
        <f t="shared" si="16"/>
        <v>0.8</v>
      </c>
      <c r="X51" s="139">
        <f t="shared" si="17"/>
        <v>0.77142857142857146</v>
      </c>
      <c r="Y51" s="139">
        <f t="shared" si="18"/>
        <v>0.78749999999999998</v>
      </c>
      <c r="Z51" s="139">
        <f t="shared" si="19"/>
        <v>0.8</v>
      </c>
      <c r="AA51" s="139">
        <f t="shared" si="20"/>
        <v>0.78</v>
      </c>
    </row>
    <row r="52" spans="1:27" ht="26.1" customHeight="1">
      <c r="A52" s="96" t="s">
        <v>404</v>
      </c>
      <c r="B52" s="96" t="s">
        <v>449</v>
      </c>
      <c r="C52" s="96">
        <v>4</v>
      </c>
      <c r="D52" s="97">
        <v>70</v>
      </c>
      <c r="E52" s="109">
        <v>35</v>
      </c>
      <c r="F52" s="96" t="s">
        <v>516</v>
      </c>
      <c r="G52" s="140">
        <f t="shared" si="22"/>
        <v>4</v>
      </c>
      <c r="H52" s="140">
        <f t="shared" si="22"/>
        <v>6</v>
      </c>
      <c r="I52" s="140">
        <f t="shared" si="22"/>
        <v>9</v>
      </c>
      <c r="J52" s="140">
        <f t="shared" si="22"/>
        <v>11</v>
      </c>
      <c r="K52" s="140">
        <f t="shared" si="22"/>
        <v>13</v>
      </c>
      <c r="L52" s="140">
        <f t="shared" si="22"/>
        <v>16</v>
      </c>
      <c r="M52" s="140">
        <f t="shared" si="22"/>
        <v>18</v>
      </c>
      <c r="N52" s="140">
        <f t="shared" si="22"/>
        <v>20</v>
      </c>
      <c r="O52" s="140">
        <f t="shared" si="22"/>
        <v>22</v>
      </c>
      <c r="R52" s="129" t="s">
        <v>449</v>
      </c>
      <c r="S52" s="139">
        <f t="shared" si="12"/>
        <v>0.7</v>
      </c>
      <c r="T52" s="139">
        <f t="shared" si="13"/>
        <v>0.7</v>
      </c>
      <c r="U52" s="139">
        <f t="shared" si="14"/>
        <v>0.78749999999999998</v>
      </c>
      <c r="V52" s="139">
        <f t="shared" si="15"/>
        <v>0.77</v>
      </c>
      <c r="W52" s="139">
        <f t="shared" si="16"/>
        <v>0.7583333333333333</v>
      </c>
      <c r="X52" s="139">
        <f t="shared" si="17"/>
        <v>0.8</v>
      </c>
      <c r="Y52" s="139">
        <f t="shared" si="18"/>
        <v>0.78749999999999998</v>
      </c>
      <c r="Z52" s="139">
        <f t="shared" si="19"/>
        <v>0.77777777777777779</v>
      </c>
      <c r="AA52" s="139">
        <f t="shared" si="20"/>
        <v>0.77</v>
      </c>
    </row>
    <row r="53" spans="1:27" ht="26.1" customHeight="1">
      <c r="A53" s="96" t="s">
        <v>404</v>
      </c>
      <c r="B53" s="96" t="s">
        <v>450</v>
      </c>
      <c r="C53" s="96">
        <v>4</v>
      </c>
      <c r="D53" s="97">
        <v>95</v>
      </c>
      <c r="E53" s="109">
        <v>39</v>
      </c>
      <c r="F53" s="96" t="s">
        <v>516</v>
      </c>
      <c r="G53" s="140">
        <f t="shared" si="22"/>
        <v>4</v>
      </c>
      <c r="H53" s="140">
        <f t="shared" si="22"/>
        <v>6</v>
      </c>
      <c r="I53" s="140">
        <f t="shared" si="22"/>
        <v>8</v>
      </c>
      <c r="J53" s="140">
        <f t="shared" si="22"/>
        <v>10</v>
      </c>
      <c r="K53" s="140">
        <f t="shared" si="22"/>
        <v>12</v>
      </c>
      <c r="L53" s="140">
        <f t="shared" si="22"/>
        <v>14</v>
      </c>
      <c r="M53" s="140">
        <f t="shared" si="22"/>
        <v>16</v>
      </c>
      <c r="N53" s="140">
        <f t="shared" si="22"/>
        <v>18</v>
      </c>
      <c r="O53" s="140">
        <f t="shared" si="22"/>
        <v>20</v>
      </c>
      <c r="R53" s="129" t="s">
        <v>450</v>
      </c>
      <c r="S53" s="139">
        <f t="shared" si="12"/>
        <v>0.78</v>
      </c>
      <c r="T53" s="139">
        <f t="shared" si="13"/>
        <v>0.78</v>
      </c>
      <c r="U53" s="139">
        <f t="shared" si="14"/>
        <v>0.78</v>
      </c>
      <c r="V53" s="139">
        <f t="shared" si="15"/>
        <v>0.78</v>
      </c>
      <c r="W53" s="139">
        <f t="shared" si="16"/>
        <v>0.78</v>
      </c>
      <c r="X53" s="139">
        <f t="shared" si="17"/>
        <v>0.78</v>
      </c>
      <c r="Y53" s="139">
        <f t="shared" si="18"/>
        <v>0.78</v>
      </c>
      <c r="Z53" s="139">
        <f t="shared" si="19"/>
        <v>0.78</v>
      </c>
      <c r="AA53" s="139">
        <f t="shared" si="20"/>
        <v>0.78</v>
      </c>
    </row>
    <row r="54" spans="1:27" ht="26.1" customHeight="1">
      <c r="A54" s="96" t="s">
        <v>404</v>
      </c>
      <c r="B54" s="96" t="s">
        <v>451</v>
      </c>
      <c r="C54" s="96">
        <v>4</v>
      </c>
      <c r="D54" s="97">
        <v>120</v>
      </c>
      <c r="E54" s="109">
        <v>43</v>
      </c>
      <c r="F54" s="96" t="s">
        <v>516</v>
      </c>
      <c r="G54" s="140">
        <f t="shared" si="22"/>
        <v>3</v>
      </c>
      <c r="H54" s="140">
        <f t="shared" si="22"/>
        <v>5</v>
      </c>
      <c r="I54" s="140">
        <f t="shared" si="22"/>
        <v>7</v>
      </c>
      <c r="J54" s="140">
        <f t="shared" si="22"/>
        <v>9</v>
      </c>
      <c r="K54" s="140">
        <f t="shared" si="22"/>
        <v>11</v>
      </c>
      <c r="L54" s="140">
        <f t="shared" si="22"/>
        <v>13</v>
      </c>
      <c r="M54" s="140">
        <f t="shared" si="22"/>
        <v>14</v>
      </c>
      <c r="N54" s="140">
        <f t="shared" si="22"/>
        <v>16</v>
      </c>
      <c r="O54" s="140">
        <f t="shared" si="22"/>
        <v>18</v>
      </c>
      <c r="R54" s="129" t="s">
        <v>451</v>
      </c>
      <c r="S54" s="139">
        <f t="shared" si="12"/>
        <v>0.64500000000000002</v>
      </c>
      <c r="T54" s="139">
        <f t="shared" si="13"/>
        <v>0.71666666666666667</v>
      </c>
      <c r="U54" s="139">
        <f t="shared" si="14"/>
        <v>0.75249999999999995</v>
      </c>
      <c r="V54" s="139">
        <f t="shared" si="15"/>
        <v>0.77400000000000002</v>
      </c>
      <c r="W54" s="139">
        <f t="shared" si="16"/>
        <v>0.78833333333333333</v>
      </c>
      <c r="X54" s="139">
        <f t="shared" si="17"/>
        <v>0.7985714285714286</v>
      </c>
      <c r="Y54" s="139">
        <f t="shared" si="18"/>
        <v>0.75249999999999995</v>
      </c>
      <c r="Z54" s="139">
        <f t="shared" si="19"/>
        <v>0.76444444444444448</v>
      </c>
      <c r="AA54" s="139">
        <f t="shared" si="20"/>
        <v>0.77400000000000002</v>
      </c>
    </row>
    <row r="55" spans="1:27" ht="26.1" customHeight="1">
      <c r="A55" s="96" t="s">
        <v>404</v>
      </c>
      <c r="B55" s="96" t="s">
        <v>452</v>
      </c>
      <c r="C55" s="96">
        <v>4</v>
      </c>
      <c r="D55" s="97">
        <v>150</v>
      </c>
      <c r="E55" s="109">
        <v>48</v>
      </c>
      <c r="F55" s="96" t="s">
        <v>516</v>
      </c>
      <c r="G55" s="140">
        <f t="shared" si="22"/>
        <v>3</v>
      </c>
      <c r="H55" s="140">
        <f t="shared" si="22"/>
        <v>5</v>
      </c>
      <c r="I55" s="140">
        <f t="shared" si="22"/>
        <v>6</v>
      </c>
      <c r="J55" s="140">
        <f t="shared" si="22"/>
        <v>8</v>
      </c>
      <c r="K55" s="140">
        <f t="shared" si="22"/>
        <v>10</v>
      </c>
      <c r="L55" s="140">
        <f t="shared" si="22"/>
        <v>11</v>
      </c>
      <c r="M55" s="140">
        <f t="shared" si="22"/>
        <v>13</v>
      </c>
      <c r="N55" s="140">
        <f t="shared" si="22"/>
        <v>15</v>
      </c>
      <c r="O55" s="140">
        <f t="shared" si="22"/>
        <v>16</v>
      </c>
      <c r="R55" s="129" t="s">
        <v>452</v>
      </c>
      <c r="S55" s="139">
        <f t="shared" si="12"/>
        <v>0.72</v>
      </c>
      <c r="T55" s="139">
        <f t="shared" si="13"/>
        <v>0.8</v>
      </c>
      <c r="U55" s="139">
        <f t="shared" si="14"/>
        <v>0.72</v>
      </c>
      <c r="V55" s="139">
        <f t="shared" si="15"/>
        <v>0.76800000000000002</v>
      </c>
      <c r="W55" s="139">
        <f t="shared" si="16"/>
        <v>0.8</v>
      </c>
      <c r="X55" s="139">
        <f t="shared" si="17"/>
        <v>0.75428571428571434</v>
      </c>
      <c r="Y55" s="139">
        <f t="shared" si="18"/>
        <v>0.78</v>
      </c>
      <c r="Z55" s="139">
        <f t="shared" si="19"/>
        <v>0.8</v>
      </c>
      <c r="AA55" s="139">
        <f t="shared" si="20"/>
        <v>0.76800000000000002</v>
      </c>
    </row>
    <row r="56" spans="1:27" ht="26.1" customHeight="1">
      <c r="A56" s="96" t="s">
        <v>404</v>
      </c>
      <c r="B56" s="96" t="s">
        <v>453</v>
      </c>
      <c r="C56" s="96">
        <v>4</v>
      </c>
      <c r="D56" s="97">
        <v>185</v>
      </c>
      <c r="E56" s="109">
        <v>53</v>
      </c>
      <c r="F56" s="96" t="s">
        <v>516</v>
      </c>
      <c r="G56" s="140">
        <f t="shared" si="22"/>
        <v>3</v>
      </c>
      <c r="H56" s="140">
        <f t="shared" si="22"/>
        <v>4</v>
      </c>
      <c r="I56" s="140">
        <f t="shared" si="22"/>
        <v>6</v>
      </c>
      <c r="J56" s="140">
        <f t="shared" si="22"/>
        <v>7</v>
      </c>
      <c r="K56" s="140">
        <f t="shared" si="22"/>
        <v>9</v>
      </c>
      <c r="L56" s="140">
        <f t="shared" si="22"/>
        <v>10</v>
      </c>
      <c r="M56" s="140">
        <f t="shared" si="22"/>
        <v>12</v>
      </c>
      <c r="N56" s="140">
        <f t="shared" si="22"/>
        <v>13</v>
      </c>
      <c r="O56" s="140">
        <f t="shared" si="22"/>
        <v>15</v>
      </c>
      <c r="R56" s="129" t="s">
        <v>453</v>
      </c>
      <c r="S56" s="139">
        <f t="shared" si="12"/>
        <v>0.79500000000000004</v>
      </c>
      <c r="T56" s="139">
        <f t="shared" si="13"/>
        <v>0.70666666666666667</v>
      </c>
      <c r="U56" s="139">
        <f t="shared" si="14"/>
        <v>0.79500000000000004</v>
      </c>
      <c r="V56" s="139">
        <f t="shared" si="15"/>
        <v>0.74199999999999999</v>
      </c>
      <c r="W56" s="139">
        <f t="shared" si="16"/>
        <v>0.79500000000000004</v>
      </c>
      <c r="X56" s="139">
        <f t="shared" si="17"/>
        <v>0.75714285714285712</v>
      </c>
      <c r="Y56" s="139">
        <f t="shared" si="18"/>
        <v>0.79500000000000004</v>
      </c>
      <c r="Z56" s="139">
        <f t="shared" si="19"/>
        <v>0.76555555555555554</v>
      </c>
      <c r="AA56" s="139">
        <f t="shared" si="20"/>
        <v>0.79500000000000004</v>
      </c>
    </row>
    <row r="57" spans="1:27" ht="26.1" customHeight="1">
      <c r="A57" s="96" t="s">
        <v>404</v>
      </c>
      <c r="B57" s="96" t="s">
        <v>454</v>
      </c>
      <c r="C57" s="96">
        <v>4</v>
      </c>
      <c r="D57" s="97">
        <v>240</v>
      </c>
      <c r="E57" s="109">
        <v>60</v>
      </c>
      <c r="F57" s="96" t="s">
        <v>516</v>
      </c>
      <c r="G57" s="140">
        <f t="shared" si="22"/>
        <v>2</v>
      </c>
      <c r="H57" s="140">
        <f t="shared" si="22"/>
        <v>4</v>
      </c>
      <c r="I57" s="140">
        <f t="shared" si="22"/>
        <v>5</v>
      </c>
      <c r="J57" s="140">
        <f t="shared" si="22"/>
        <v>6</v>
      </c>
      <c r="K57" s="140">
        <f t="shared" si="22"/>
        <v>8</v>
      </c>
      <c r="L57" s="140">
        <f t="shared" si="22"/>
        <v>9</v>
      </c>
      <c r="M57" s="140">
        <f t="shared" si="22"/>
        <v>10</v>
      </c>
      <c r="N57" s="140">
        <f t="shared" si="22"/>
        <v>12</v>
      </c>
      <c r="O57" s="140">
        <f t="shared" si="22"/>
        <v>13</v>
      </c>
      <c r="R57" s="129" t="s">
        <v>454</v>
      </c>
      <c r="S57" s="139">
        <f t="shared" si="12"/>
        <v>0.6</v>
      </c>
      <c r="T57" s="139">
        <f t="shared" si="13"/>
        <v>0.8</v>
      </c>
      <c r="U57" s="139">
        <f t="shared" si="14"/>
        <v>0.75</v>
      </c>
      <c r="V57" s="139">
        <f t="shared" si="15"/>
        <v>0.72</v>
      </c>
      <c r="W57" s="139">
        <f t="shared" si="16"/>
        <v>0.8</v>
      </c>
      <c r="X57" s="139">
        <f t="shared" si="17"/>
        <v>0.77142857142857146</v>
      </c>
      <c r="Y57" s="139">
        <f t="shared" si="18"/>
        <v>0.75</v>
      </c>
      <c r="Z57" s="139">
        <f t="shared" si="19"/>
        <v>0.8</v>
      </c>
      <c r="AA57" s="139">
        <f t="shared" si="20"/>
        <v>0.78</v>
      </c>
    </row>
    <row r="58" spans="1:27" ht="26.1" customHeight="1">
      <c r="A58" s="96" t="s">
        <v>404</v>
      </c>
      <c r="B58" s="96" t="s">
        <v>455</v>
      </c>
      <c r="C58" s="96">
        <v>4</v>
      </c>
      <c r="D58" s="97">
        <v>300</v>
      </c>
      <c r="E58" s="109">
        <v>66</v>
      </c>
      <c r="F58" s="96" t="s">
        <v>516</v>
      </c>
      <c r="G58" s="140">
        <f t="shared" si="22"/>
        <v>2</v>
      </c>
      <c r="H58" s="140">
        <f t="shared" si="22"/>
        <v>3</v>
      </c>
      <c r="I58" s="140">
        <f t="shared" si="22"/>
        <v>4</v>
      </c>
      <c r="J58" s="140">
        <f t="shared" si="22"/>
        <v>6</v>
      </c>
      <c r="K58" s="140">
        <f t="shared" si="22"/>
        <v>7</v>
      </c>
      <c r="L58" s="140">
        <f t="shared" si="22"/>
        <v>8</v>
      </c>
      <c r="M58" s="140">
        <f t="shared" si="22"/>
        <v>9</v>
      </c>
      <c r="N58" s="140">
        <f t="shared" si="22"/>
        <v>10</v>
      </c>
      <c r="O58" s="140">
        <f t="shared" si="22"/>
        <v>12</v>
      </c>
      <c r="R58" s="129" t="s">
        <v>455</v>
      </c>
      <c r="S58" s="139">
        <f t="shared" si="12"/>
        <v>0.66</v>
      </c>
      <c r="T58" s="139">
        <f t="shared" si="13"/>
        <v>0.66</v>
      </c>
      <c r="U58" s="139">
        <f t="shared" si="14"/>
        <v>0.66</v>
      </c>
      <c r="V58" s="139">
        <f t="shared" si="15"/>
        <v>0.79200000000000004</v>
      </c>
      <c r="W58" s="139">
        <f t="shared" si="16"/>
        <v>0.77</v>
      </c>
      <c r="X58" s="139">
        <f t="shared" si="17"/>
        <v>0.75428571428571434</v>
      </c>
      <c r="Y58" s="139">
        <f t="shared" si="18"/>
        <v>0.74250000000000005</v>
      </c>
      <c r="Z58" s="139">
        <f t="shared" si="19"/>
        <v>0.73333333333333328</v>
      </c>
      <c r="AA58" s="139">
        <f t="shared" si="20"/>
        <v>0.79200000000000004</v>
      </c>
    </row>
    <row r="59" spans="1:27" ht="26.1" customHeight="1">
      <c r="A59" s="96" t="s">
        <v>404</v>
      </c>
      <c r="B59" s="96" t="s">
        <v>456</v>
      </c>
      <c r="C59" s="96">
        <v>4</v>
      </c>
      <c r="D59" s="97">
        <v>400</v>
      </c>
      <c r="E59" s="109">
        <v>74</v>
      </c>
      <c r="F59" s="96" t="s">
        <v>516</v>
      </c>
      <c r="G59" s="140">
        <f t="shared" si="22"/>
        <v>2</v>
      </c>
      <c r="H59" s="140">
        <f t="shared" si="22"/>
        <v>3</v>
      </c>
      <c r="I59" s="140">
        <f t="shared" si="22"/>
        <v>4</v>
      </c>
      <c r="J59" s="140">
        <f t="shared" si="22"/>
        <v>5</v>
      </c>
      <c r="K59" s="140">
        <f t="shared" si="22"/>
        <v>6</v>
      </c>
      <c r="L59" s="140">
        <f t="shared" si="22"/>
        <v>7</v>
      </c>
      <c r="M59" s="140">
        <f t="shared" si="22"/>
        <v>8</v>
      </c>
      <c r="N59" s="140">
        <f t="shared" si="22"/>
        <v>9</v>
      </c>
      <c r="O59" s="140">
        <f t="shared" si="22"/>
        <v>10</v>
      </c>
      <c r="R59" s="129" t="s">
        <v>456</v>
      </c>
      <c r="S59" s="139">
        <f t="shared" si="12"/>
        <v>0.74</v>
      </c>
      <c r="T59" s="139">
        <f t="shared" si="13"/>
        <v>0.74</v>
      </c>
      <c r="U59" s="139">
        <f t="shared" si="14"/>
        <v>0.74</v>
      </c>
      <c r="V59" s="139">
        <f t="shared" si="15"/>
        <v>0.74</v>
      </c>
      <c r="W59" s="139">
        <f t="shared" si="16"/>
        <v>0.74</v>
      </c>
      <c r="X59" s="139">
        <f t="shared" si="17"/>
        <v>0.74</v>
      </c>
      <c r="Y59" s="139">
        <f t="shared" si="18"/>
        <v>0.74</v>
      </c>
      <c r="Z59" s="139">
        <f t="shared" si="19"/>
        <v>0.74</v>
      </c>
      <c r="AA59" s="139">
        <f t="shared" si="20"/>
        <v>0.74</v>
      </c>
    </row>
    <row r="62" spans="1:27">
      <c r="A62" s="211" t="s">
        <v>517</v>
      </c>
      <c r="B62" s="211"/>
      <c r="C62" s="211"/>
      <c r="D62" s="211"/>
      <c r="E62" s="211"/>
      <c r="F62" s="211"/>
      <c r="G62" s="211"/>
      <c r="H62" s="211"/>
      <c r="I62" s="211"/>
      <c r="J62" s="211"/>
      <c r="K62" s="211"/>
      <c r="L62" s="211"/>
      <c r="M62" s="211"/>
      <c r="N62" s="211"/>
      <c r="O62" s="211"/>
    </row>
    <row r="63" spans="1:27" ht="21" customHeight="1">
      <c r="A63" s="212" t="s">
        <v>518</v>
      </c>
      <c r="B63" s="212"/>
      <c r="C63" s="212"/>
      <c r="D63" s="212"/>
      <c r="E63" s="212"/>
      <c r="F63" s="212"/>
      <c r="G63" s="212"/>
      <c r="H63" s="212"/>
      <c r="I63" s="212"/>
      <c r="J63" s="212"/>
      <c r="K63" s="212"/>
      <c r="L63" s="212"/>
      <c r="M63" s="212"/>
      <c r="N63" s="212"/>
      <c r="O63" s="212"/>
    </row>
    <row r="64" spans="1:27">
      <c r="A64" s="151" t="s">
        <v>519</v>
      </c>
      <c r="I64" s="148" t="s">
        <v>520</v>
      </c>
    </row>
    <row r="65" spans="1:12" ht="55.2">
      <c r="A65" s="137" t="s">
        <v>459</v>
      </c>
      <c r="B65" s="137" t="s">
        <v>460</v>
      </c>
      <c r="C65" s="137" t="s">
        <v>394</v>
      </c>
      <c r="D65" s="137" t="s">
        <v>176</v>
      </c>
      <c r="E65" s="137" t="s">
        <v>461</v>
      </c>
      <c r="F65" s="137" t="s">
        <v>462</v>
      </c>
      <c r="G65" s="137" t="s">
        <v>521</v>
      </c>
      <c r="H65" s="137" t="s">
        <v>522</v>
      </c>
      <c r="I65" s="137" t="s">
        <v>523</v>
      </c>
      <c r="J65" s="137" t="s">
        <v>524</v>
      </c>
      <c r="K65" s="137" t="s">
        <v>525</v>
      </c>
      <c r="L65" s="137" t="s">
        <v>471</v>
      </c>
    </row>
    <row r="66" spans="1:12" ht="15.6">
      <c r="A66" s="141" t="s">
        <v>526</v>
      </c>
      <c r="B66" s="146" t="s">
        <v>405</v>
      </c>
      <c r="C66" s="143" t="s">
        <v>404</v>
      </c>
      <c r="D66" s="144">
        <v>25</v>
      </c>
      <c r="E66" s="180">
        <f>_xlfn.XLOOKUP(B66,$B$6:$B$59,$E$6:$E$59,0,0)</f>
        <v>12</v>
      </c>
      <c r="F66" s="147">
        <v>10</v>
      </c>
      <c r="G66" s="147">
        <v>300</v>
      </c>
      <c r="H66" s="145">
        <f>IF(OR(E66="",F66=""),"",E66*F66)</f>
        <v>120</v>
      </c>
      <c r="I66" s="145">
        <f>IF(G66="","",0.8*G66)</f>
        <v>240</v>
      </c>
      <c r="J66" s="150">
        <f>IFERROR(H66/G66,"")</f>
        <v>0.4</v>
      </c>
      <c r="K66" s="149" t="str">
        <f>IF(OR(H66="",I66=""),"",IF(H66&lt;=I66,"PASS","FAIL"))</f>
        <v>PASS</v>
      </c>
      <c r="L66" s="142" t="s">
        <v>527</v>
      </c>
    </row>
    <row r="67" spans="1:12" ht="15.6">
      <c r="A67" s="141" t="s">
        <v>528</v>
      </c>
      <c r="B67" s="146" t="s">
        <v>408</v>
      </c>
      <c r="C67" s="143" t="s">
        <v>404</v>
      </c>
      <c r="D67" s="144">
        <v>70</v>
      </c>
      <c r="E67" s="180">
        <f>_xlfn.XLOOKUP(B67,$B$6:$B$59,$E$6:$E$59,0,0)</f>
        <v>16</v>
      </c>
      <c r="F67" s="147">
        <v>25</v>
      </c>
      <c r="G67" s="147">
        <v>600</v>
      </c>
      <c r="H67" s="145">
        <f>IF(OR(E67="",F67=""),"",E67*F67)</f>
        <v>400</v>
      </c>
      <c r="I67" s="145">
        <f>IF(G67="","",0.8*G67)</f>
        <v>480</v>
      </c>
      <c r="J67" s="150">
        <f>IFERROR(H67/G67,"")</f>
        <v>0.66666666666666663</v>
      </c>
      <c r="K67" s="149" t="str">
        <f>IF(OR(H67="",I67=""),"",IF(H67&lt;=I67,"PASS","FAIL"))</f>
        <v>PASS</v>
      </c>
      <c r="L67" s="142" t="s">
        <v>527</v>
      </c>
    </row>
    <row r="68" spans="1:12" ht="15.6">
      <c r="A68" s="141" t="s">
        <v>529</v>
      </c>
      <c r="B68" s="146" t="s">
        <v>419</v>
      </c>
      <c r="C68" s="143" t="s">
        <v>404</v>
      </c>
      <c r="D68" s="144">
        <v>16</v>
      </c>
      <c r="E68" s="180">
        <f>_xlfn.XLOOKUP(B68,$B$6:$B$59,$E$6:$E$59,0,0)</f>
        <v>18</v>
      </c>
      <c r="F68" s="147">
        <v>20</v>
      </c>
      <c r="G68" s="147">
        <v>500</v>
      </c>
      <c r="H68" s="145">
        <f>IF(OR(E68="",F68=""),"",E68*F68)</f>
        <v>360</v>
      </c>
      <c r="I68" s="145">
        <f>IF(G68="","",0.8*G68)</f>
        <v>400</v>
      </c>
      <c r="J68" s="150">
        <f>IFERROR(H68/G68,"")</f>
        <v>0.72</v>
      </c>
      <c r="K68" s="149" t="str">
        <f>IF(OR(H68="",I68=""),"",IF(H68&lt;=I68,"PASS","FAIL"))</f>
        <v>PASS</v>
      </c>
      <c r="L68" s="142" t="s">
        <v>530</v>
      </c>
    </row>
    <row r="69" spans="1:12" ht="15.6">
      <c r="A69" s="141" t="s">
        <v>531</v>
      </c>
      <c r="B69" s="146" t="s">
        <v>513</v>
      </c>
      <c r="C69" s="143" t="s">
        <v>404</v>
      </c>
      <c r="D69" s="144">
        <v>10</v>
      </c>
      <c r="E69" s="180">
        <f>_xlfn.XLOOKUP(B69,$B$6:$B$59,$E$6:$E$59,0,0)</f>
        <v>10</v>
      </c>
      <c r="F69" s="147">
        <v>10</v>
      </c>
      <c r="G69" s="147">
        <v>200</v>
      </c>
      <c r="H69" s="145">
        <f>IF(OR(E69="",F69=""),"",E69*F69)</f>
        <v>100</v>
      </c>
      <c r="I69" s="145">
        <f>IF(G69="","",0.8*G69)</f>
        <v>160</v>
      </c>
      <c r="J69" s="150">
        <f>IFERROR(H69/G69,"")</f>
        <v>0.5</v>
      </c>
      <c r="K69" s="149" t="str">
        <f>IF(OR(H69="",I69=""),"",IF(H69&lt;=I69,"PASS","FAIL"))</f>
        <v>PASS</v>
      </c>
      <c r="L69" s="152" t="s">
        <v>519</v>
      </c>
    </row>
    <row r="70" spans="1:12" ht="15.6">
      <c r="A70" s="141" t="s">
        <v>532</v>
      </c>
      <c r="B70" s="146" t="s">
        <v>406</v>
      </c>
      <c r="C70" s="143" t="s">
        <v>404</v>
      </c>
      <c r="D70" s="144">
        <v>35</v>
      </c>
      <c r="E70" s="180">
        <f>_xlfn.XLOOKUP(B70,$B$6:$B$59,$E$6:$E$59,0,0)</f>
        <v>13</v>
      </c>
      <c r="F70" s="147">
        <v>20</v>
      </c>
      <c r="G70" s="147">
        <v>200</v>
      </c>
      <c r="H70" s="145">
        <f>IF(OR(E70="",F70=""),"",E70*F70)</f>
        <v>260</v>
      </c>
      <c r="I70" s="145">
        <f>IF(G70="","",0.8*G70)</f>
        <v>160</v>
      </c>
      <c r="J70" s="150">
        <f>IFERROR(H70/G70,"")</f>
        <v>1.3</v>
      </c>
      <c r="K70" s="149" t="str">
        <f>IF(OR(H70="",I70=""),"",IF(H70&lt;=I70,"PASS","FAIL"))</f>
        <v>FAIL</v>
      </c>
      <c r="L70" s="142" t="s">
        <v>533</v>
      </c>
    </row>
    <row r="71" spans="1:12" ht="27.6">
      <c r="A71" s="155" t="s">
        <v>480</v>
      </c>
      <c r="B71" s="157"/>
      <c r="C71" s="157"/>
      <c r="D71" s="157"/>
      <c r="E71" s="157"/>
      <c r="F71" s="157"/>
      <c r="G71" s="157"/>
      <c r="H71" s="184">
        <f>SUM(H66:H70)</f>
        <v>1240</v>
      </c>
      <c r="I71" s="158">
        <f>SUM(I66:I70)</f>
        <v>1440</v>
      </c>
      <c r="J71" s="157"/>
      <c r="K71" s="155" t="s">
        <v>481</v>
      </c>
      <c r="L71" s="157"/>
    </row>
    <row r="72" spans="1:12">
      <c r="A72" s="208" t="s">
        <v>699</v>
      </c>
      <c r="B72" s="208"/>
      <c r="C72" s="208"/>
      <c r="D72" s="208"/>
      <c r="E72" s="208"/>
      <c r="F72" s="208"/>
      <c r="G72" s="208"/>
      <c r="H72" s="208"/>
      <c r="I72" s="208"/>
    </row>
    <row r="73" spans="1:12">
      <c r="A73" s="209" t="s">
        <v>700</v>
      </c>
      <c r="B73" s="209"/>
      <c r="C73" s="209"/>
      <c r="D73" s="209"/>
      <c r="E73" s="209"/>
      <c r="F73" s="209"/>
      <c r="G73" s="209"/>
      <c r="H73" s="209"/>
      <c r="I73" s="209"/>
    </row>
    <row r="74" spans="1:12" ht="39.6">
      <c r="A74" s="161" t="s">
        <v>485</v>
      </c>
      <c r="B74" s="161" t="s">
        <v>701</v>
      </c>
      <c r="C74" s="161" t="s">
        <v>702</v>
      </c>
      <c r="D74" s="161" t="s">
        <v>703</v>
      </c>
      <c r="E74" s="161" t="s">
        <v>704</v>
      </c>
      <c r="F74" s="161" t="s">
        <v>705</v>
      </c>
      <c r="G74" s="161" t="s">
        <v>706</v>
      </c>
      <c r="H74" s="161" t="s">
        <v>707</v>
      </c>
      <c r="I74" s="161" t="s">
        <v>491</v>
      </c>
    </row>
    <row r="75" spans="1:12" ht="30">
      <c r="A75" s="169">
        <f>SUM(F66:F70)</f>
        <v>85</v>
      </c>
      <c r="B75" s="183">
        <f>SUM(H66:H70)</f>
        <v>1240</v>
      </c>
      <c r="C75" s="165">
        <f>IFERROR(B75/0.8,"")</f>
        <v>1550</v>
      </c>
      <c r="D75" s="166" t="str">
        <f>IF(C75="","",IF(C75&lt;=200,200,IF(C75&lt;=300,300,IF(C75&lt;=400,400,IF(C75&lt;=500,500,IF(C75&lt;=600,600,IF(C75&lt;=700,700,IF(C75&lt;=800,800,IF(C75&lt;=900,900,IF(C75&lt;=1000,1000,"MULTIPLE"))))))))))</f>
        <v>MULTIPLE</v>
      </c>
      <c r="E75" s="167" t="str">
        <f>IF(OR(C75="",D75="MULTIPLE"),"",C75/D75)</f>
        <v/>
      </c>
      <c r="F75" s="166" t="str">
        <f>IF(D75="MULTIPLE","MULTIPLE",IF(E75&lt;=0.8,"PASS","CHECK"))</f>
        <v>MULTIPLE</v>
      </c>
      <c r="G75" s="168">
        <f>IF(C75="","",MAX(1,ROUNDUP(C75/1000,0)))</f>
        <v>2</v>
      </c>
      <c r="H75" s="171">
        <f>IF(G75="","",IF(G75=1,D75,1000))</f>
        <v>1000</v>
      </c>
      <c r="I75" s="168" t="str">
        <f>IF(D75="MULTIPLE",G75&amp;" parallel ladders @ 1000 mm",IF(F75="PASS","Use "&amp;D75&amp;" mm ladder","CHECK width / routing"))</f>
        <v>2 parallel ladders @ 1000 mm</v>
      </c>
    </row>
    <row r="76" spans="1:12">
      <c r="A76" s="210" t="s">
        <v>708</v>
      </c>
      <c r="B76" s="210"/>
      <c r="C76" s="210"/>
      <c r="D76" s="210"/>
      <c r="E76" s="210"/>
      <c r="F76" s="210"/>
      <c r="G76" s="210"/>
    </row>
    <row r="77" spans="1:12" ht="46.5" customHeight="1">
      <c r="A77" s="161" t="s">
        <v>709</v>
      </c>
      <c r="B77" s="161" t="s">
        <v>523</v>
      </c>
      <c r="C77" s="161" t="s">
        <v>701</v>
      </c>
      <c r="D77" s="161" t="s">
        <v>704</v>
      </c>
      <c r="E77" s="161" t="s">
        <v>710</v>
      </c>
      <c r="F77" s="161" t="s">
        <v>711</v>
      </c>
      <c r="G77" s="161" t="s">
        <v>712</v>
      </c>
    </row>
    <row r="78" spans="1:12" ht="15">
      <c r="A78" s="163">
        <f>G$4</f>
        <v>200</v>
      </c>
      <c r="B78" s="163">
        <f t="shared" ref="B78:B86" si="23">0.8*A78</f>
        <v>160</v>
      </c>
      <c r="C78" s="163">
        <f t="shared" ref="C78:C86" si="24">$B$75</f>
        <v>1240</v>
      </c>
      <c r="D78" s="164">
        <f t="shared" ref="D78:D86" si="25">IFERROR(C78/B78,"")</f>
        <v>7.75</v>
      </c>
      <c r="E78" s="172" t="str">
        <f t="shared" ref="E78:E86" si="26">IF(D78&lt;=0.8,"PASS","FAIL")</f>
        <v>FAIL</v>
      </c>
      <c r="F78" s="166">
        <f t="shared" ref="F78:F86" si="27">MAX(1,ROUNDUP(C78/B78,0))</f>
        <v>8</v>
      </c>
      <c r="G78" s="170">
        <f t="shared" ref="G78:G86" si="28">IFERROR(C78/(B78*F78),"")</f>
        <v>0.96875</v>
      </c>
    </row>
    <row r="79" spans="1:12" ht="15">
      <c r="A79" s="163">
        <f>H$4</f>
        <v>300</v>
      </c>
      <c r="B79" s="163">
        <f t="shared" si="23"/>
        <v>240</v>
      </c>
      <c r="C79" s="163">
        <f t="shared" si="24"/>
        <v>1240</v>
      </c>
      <c r="D79" s="164">
        <f t="shared" si="25"/>
        <v>5.166666666666667</v>
      </c>
      <c r="E79" s="172" t="str">
        <f t="shared" si="26"/>
        <v>FAIL</v>
      </c>
      <c r="F79" s="166">
        <f t="shared" si="27"/>
        <v>6</v>
      </c>
      <c r="G79" s="170">
        <f t="shared" si="28"/>
        <v>0.86111111111111116</v>
      </c>
    </row>
    <row r="80" spans="1:12" ht="15">
      <c r="A80" s="163">
        <f>I$4</f>
        <v>400</v>
      </c>
      <c r="B80" s="163">
        <f t="shared" si="23"/>
        <v>320</v>
      </c>
      <c r="C80" s="163">
        <f t="shared" si="24"/>
        <v>1240</v>
      </c>
      <c r="D80" s="164">
        <f t="shared" si="25"/>
        <v>3.875</v>
      </c>
      <c r="E80" s="172" t="str">
        <f t="shared" si="26"/>
        <v>FAIL</v>
      </c>
      <c r="F80" s="166">
        <f t="shared" si="27"/>
        <v>4</v>
      </c>
      <c r="G80" s="170">
        <f t="shared" si="28"/>
        <v>0.96875</v>
      </c>
    </row>
    <row r="81" spans="1:7" ht="15">
      <c r="A81" s="163">
        <f>J$4</f>
        <v>500</v>
      </c>
      <c r="B81" s="163">
        <f t="shared" si="23"/>
        <v>400</v>
      </c>
      <c r="C81" s="163">
        <f t="shared" si="24"/>
        <v>1240</v>
      </c>
      <c r="D81" s="164">
        <f t="shared" si="25"/>
        <v>3.1</v>
      </c>
      <c r="E81" s="172" t="str">
        <f t="shared" si="26"/>
        <v>FAIL</v>
      </c>
      <c r="F81" s="166">
        <f t="shared" si="27"/>
        <v>4</v>
      </c>
      <c r="G81" s="170">
        <f t="shared" si="28"/>
        <v>0.77500000000000002</v>
      </c>
    </row>
    <row r="82" spans="1:7" ht="15">
      <c r="A82" s="163">
        <f>K$4</f>
        <v>600</v>
      </c>
      <c r="B82" s="163">
        <f t="shared" si="23"/>
        <v>480</v>
      </c>
      <c r="C82" s="163">
        <f t="shared" si="24"/>
        <v>1240</v>
      </c>
      <c r="D82" s="164">
        <f t="shared" si="25"/>
        <v>2.5833333333333335</v>
      </c>
      <c r="E82" s="172" t="str">
        <f t="shared" si="26"/>
        <v>FAIL</v>
      </c>
      <c r="F82" s="166">
        <f t="shared" si="27"/>
        <v>3</v>
      </c>
      <c r="G82" s="170">
        <f t="shared" si="28"/>
        <v>0.86111111111111116</v>
      </c>
    </row>
    <row r="83" spans="1:7" ht="15">
      <c r="A83" s="163">
        <f>L$4</f>
        <v>700</v>
      </c>
      <c r="B83" s="163">
        <f t="shared" si="23"/>
        <v>560</v>
      </c>
      <c r="C83" s="163">
        <f t="shared" si="24"/>
        <v>1240</v>
      </c>
      <c r="D83" s="164">
        <f t="shared" si="25"/>
        <v>2.2142857142857144</v>
      </c>
      <c r="E83" s="172" t="str">
        <f t="shared" si="26"/>
        <v>FAIL</v>
      </c>
      <c r="F83" s="166">
        <f t="shared" si="27"/>
        <v>3</v>
      </c>
      <c r="G83" s="170">
        <f t="shared" si="28"/>
        <v>0.73809523809523814</v>
      </c>
    </row>
    <row r="84" spans="1:7" ht="15">
      <c r="A84" s="163">
        <f>M$4</f>
        <v>800</v>
      </c>
      <c r="B84" s="163">
        <f t="shared" si="23"/>
        <v>640</v>
      </c>
      <c r="C84" s="163">
        <f t="shared" si="24"/>
        <v>1240</v>
      </c>
      <c r="D84" s="164">
        <f t="shared" si="25"/>
        <v>1.9375</v>
      </c>
      <c r="E84" s="172" t="str">
        <f t="shared" si="26"/>
        <v>FAIL</v>
      </c>
      <c r="F84" s="166">
        <f t="shared" si="27"/>
        <v>2</v>
      </c>
      <c r="G84" s="170">
        <f t="shared" si="28"/>
        <v>0.96875</v>
      </c>
    </row>
    <row r="85" spans="1:7" ht="15">
      <c r="A85" s="163">
        <f>N$4</f>
        <v>900</v>
      </c>
      <c r="B85" s="163">
        <f t="shared" si="23"/>
        <v>720</v>
      </c>
      <c r="C85" s="163">
        <f t="shared" si="24"/>
        <v>1240</v>
      </c>
      <c r="D85" s="164">
        <f t="shared" si="25"/>
        <v>1.7222222222222223</v>
      </c>
      <c r="E85" s="172" t="str">
        <f t="shared" si="26"/>
        <v>FAIL</v>
      </c>
      <c r="F85" s="166">
        <f t="shared" si="27"/>
        <v>2</v>
      </c>
      <c r="G85" s="170">
        <f t="shared" si="28"/>
        <v>0.86111111111111116</v>
      </c>
    </row>
    <row r="86" spans="1:7" ht="15">
      <c r="A86" s="163">
        <f>O$4</f>
        <v>1000</v>
      </c>
      <c r="B86" s="163">
        <f t="shared" si="23"/>
        <v>800</v>
      </c>
      <c r="C86" s="163">
        <f t="shared" si="24"/>
        <v>1240</v>
      </c>
      <c r="D86" s="164">
        <f t="shared" si="25"/>
        <v>1.55</v>
      </c>
      <c r="E86" s="172" t="str">
        <f t="shared" si="26"/>
        <v>FAIL</v>
      </c>
      <c r="F86" s="166">
        <f t="shared" si="27"/>
        <v>2</v>
      </c>
      <c r="G86" s="170">
        <f t="shared" si="28"/>
        <v>0.77500000000000002</v>
      </c>
    </row>
  </sheetData>
  <mergeCells count="10">
    <mergeCell ref="A1:O1"/>
    <mergeCell ref="A2:O2"/>
    <mergeCell ref="A3:O3"/>
    <mergeCell ref="A4:F4"/>
    <mergeCell ref="R4:AA4"/>
    <mergeCell ref="A72:I72"/>
    <mergeCell ref="A73:I73"/>
    <mergeCell ref="A76:G76"/>
    <mergeCell ref="A62:O62"/>
    <mergeCell ref="A63:O63"/>
  </mergeCells>
  <conditionalFormatting sqref="E78:E86">
    <cfRule type="cellIs" dxfId="105" priority="1" operator="equal">
      <formula>"PASS"</formula>
    </cfRule>
    <cfRule type="cellIs" dxfId="104" priority="2" operator="equal">
      <formula>"FAIL"</formula>
    </cfRule>
    <cfRule type="containsText" dxfId="103" priority="3" operator="containsText" text="PASS"/>
    <cfRule type="containsText" dxfId="102" priority="4" operator="containsText" text="FAIL"/>
    <cfRule type="containsText" dxfId="101" priority="5" operator="containsText" text="CHECK"/>
    <cfRule type="containsText" dxfId="100" priority="6" operator="containsText" text="NOT PERMITTED"/>
    <cfRule type="containsText" dxfId="99" priority="7" operator="containsText" text="PASS"/>
    <cfRule type="containsText" dxfId="98" priority="8" operator="containsText" text="FAIL"/>
    <cfRule type="containsText" dxfId="97" priority="9" operator="containsText" text="CHECK"/>
  </conditionalFormatting>
  <conditionalFormatting sqref="F75">
    <cfRule type="containsText" dxfId="96" priority="66" operator="containsText" text="PASS"/>
    <cfRule type="containsText" dxfId="95" priority="67" operator="containsText" text="FAIL"/>
    <cfRule type="containsText" dxfId="94" priority="68" operator="containsText" text="CHECK"/>
    <cfRule type="containsText" dxfId="93" priority="70" operator="containsText" text="NOT PERMITTED"/>
  </conditionalFormatting>
  <conditionalFormatting sqref="G6:O59">
    <cfRule type="colorScale" priority="65">
      <colorScale>
        <cfvo type="min"/>
        <cfvo type="max"/>
        <color rgb="FFFCFCFF"/>
        <color rgb="FF63BE7B"/>
      </colorScale>
    </cfRule>
  </conditionalFormatting>
  <conditionalFormatting sqref="J66:J70">
    <cfRule type="cellIs" dxfId="92" priority="13" operator="greaterThan">
      <formula>0.8</formula>
    </cfRule>
  </conditionalFormatting>
  <conditionalFormatting sqref="K66:K70">
    <cfRule type="cellIs" dxfId="91" priority="14" operator="equal">
      <formula>"PASS"</formula>
    </cfRule>
    <cfRule type="cellIs" dxfId="90" priority="15" operator="equal">
      <formula>"FAIL"</formula>
    </cfRule>
    <cfRule type="containsText" dxfId="89" priority="16" operator="containsText" text="PASS"/>
    <cfRule type="containsText" dxfId="88" priority="17" operator="containsText" text="FAIL"/>
    <cfRule type="containsText" dxfId="87" priority="18" operator="containsText" text="CHECK"/>
    <cfRule type="containsText" dxfId="86" priority="19" operator="containsText" text="NOT PERMITTED"/>
    <cfRule type="containsText" dxfId="85" priority="20" operator="containsText" text="PASS"/>
    <cfRule type="containsText" dxfId="84" priority="21" operator="containsText" text="FAIL"/>
    <cfRule type="containsText" dxfId="83" priority="22" operator="containsText" text="CHECK"/>
  </conditionalFormatting>
  <conditionalFormatting sqref="K71">
    <cfRule type="containsText" dxfId="82" priority="10" operator="containsText" text="PASS"/>
    <cfRule type="containsText" dxfId="81" priority="11" operator="containsText" text="FAIL"/>
    <cfRule type="containsText" dxfId="80" priority="12" operator="containsText" text="CHECK"/>
  </conditionalFormatting>
  <conditionalFormatting sqref="S6:AA59">
    <cfRule type="colorScale" priority="23">
      <colorScale>
        <cfvo type="min"/>
        <cfvo type="percentile" val="50"/>
        <cfvo type="max"/>
        <color rgb="FF63BE7B"/>
        <color rgb="FFFFEB84"/>
        <color rgb="FFFCBABC"/>
      </colorScale>
    </cfRule>
  </conditionalFormatting>
  <dataValidations count="3">
    <dataValidation type="list" sqref="C66:C70" xr:uid="{00000000-0002-0000-0700-000000000000}">
      <formula1>"AC,DC"</formula1>
    </dataValidation>
    <dataValidation type="whole" operator="greaterThanOrEqual" sqref="F66:F70" xr:uid="{00000000-0002-0000-0700-000001000000}">
      <formula1>1</formula1>
    </dataValidation>
    <dataValidation type="decimal" operator="greaterThan" sqref="G66:G70" xr:uid="{00000000-0002-0000-0700-000002000000}">
      <formula1>0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rgb="FF00B0F0"/>
  </sheetPr>
  <dimension ref="A1:N53"/>
  <sheetViews>
    <sheetView showGridLines="0" topLeftCell="A37" workbookViewId="0">
      <selection activeCell="G31" sqref="G31"/>
    </sheetView>
  </sheetViews>
  <sheetFormatPr defaultRowHeight="13.8"/>
  <cols>
    <col min="1" max="1" width="31" customWidth="1"/>
    <col min="2" max="2" width="11" customWidth="1"/>
    <col min="3" max="3" width="13" customWidth="1"/>
    <col min="4" max="4" width="24" customWidth="1"/>
    <col min="5" max="5" width="25" customWidth="1"/>
    <col min="6" max="14" width="11" customWidth="1"/>
  </cols>
  <sheetData>
    <row r="1" spans="1:14">
      <c r="A1" s="202" t="s">
        <v>534</v>
      </c>
      <c r="B1" s="202" t="s">
        <v>534</v>
      </c>
      <c r="C1" s="202" t="s">
        <v>534</v>
      </c>
      <c r="D1" s="202" t="s">
        <v>534</v>
      </c>
      <c r="E1" s="202" t="s">
        <v>534</v>
      </c>
      <c r="F1" s="202" t="s">
        <v>534</v>
      </c>
      <c r="G1" s="202" t="s">
        <v>534</v>
      </c>
      <c r="H1" s="202" t="s">
        <v>534</v>
      </c>
      <c r="I1" s="202" t="s">
        <v>534</v>
      </c>
      <c r="J1" s="202" t="s">
        <v>534</v>
      </c>
      <c r="K1" s="202" t="s">
        <v>534</v>
      </c>
      <c r="L1" s="202" t="s">
        <v>534</v>
      </c>
      <c r="M1" s="202" t="s">
        <v>534</v>
      </c>
      <c r="N1" s="202" t="s">
        <v>534</v>
      </c>
    </row>
    <row r="2" spans="1:14">
      <c r="A2" s="220" t="s">
        <v>535</v>
      </c>
      <c r="B2" s="220" t="s">
        <v>536</v>
      </c>
      <c r="C2" s="220" t="s">
        <v>536</v>
      </c>
      <c r="D2" s="220" t="s">
        <v>536</v>
      </c>
      <c r="E2" s="220" t="s">
        <v>536</v>
      </c>
      <c r="F2" s="220" t="s">
        <v>536</v>
      </c>
      <c r="G2" s="220" t="s">
        <v>536</v>
      </c>
      <c r="H2" s="220" t="s">
        <v>536</v>
      </c>
      <c r="I2" s="220" t="s">
        <v>536</v>
      </c>
      <c r="J2" s="220" t="s">
        <v>536</v>
      </c>
      <c r="K2" s="220" t="s">
        <v>536</v>
      </c>
      <c r="L2" s="220" t="s">
        <v>536</v>
      </c>
      <c r="M2" s="220" t="s">
        <v>536</v>
      </c>
      <c r="N2" s="220" t="s">
        <v>536</v>
      </c>
    </row>
    <row r="3" spans="1:14">
      <c r="A3" s="213" t="s">
        <v>537</v>
      </c>
      <c r="B3" s="213" t="s">
        <v>538</v>
      </c>
      <c r="C3" s="213" t="s">
        <v>538</v>
      </c>
      <c r="D3" s="213" t="s">
        <v>538</v>
      </c>
      <c r="E3" s="213" t="s">
        <v>538</v>
      </c>
      <c r="F3" s="213" t="s">
        <v>538</v>
      </c>
      <c r="G3" s="213" t="s">
        <v>538</v>
      </c>
      <c r="H3" s="213" t="s">
        <v>538</v>
      </c>
      <c r="I3" s="213" t="s">
        <v>538</v>
      </c>
      <c r="J3" s="213" t="s">
        <v>538</v>
      </c>
      <c r="K3" s="213" t="s">
        <v>538</v>
      </c>
      <c r="L3" s="213" t="s">
        <v>538</v>
      </c>
      <c r="M3" s="213" t="s">
        <v>538</v>
      </c>
      <c r="N3" s="213" t="s">
        <v>538</v>
      </c>
    </row>
    <row r="4" spans="1:14">
      <c r="A4" s="202" t="s">
        <v>539</v>
      </c>
      <c r="B4" s="202" t="s">
        <v>540</v>
      </c>
      <c r="C4" s="202" t="s">
        <v>540</v>
      </c>
      <c r="D4" s="202" t="s">
        <v>540</v>
      </c>
      <c r="E4" s="202" t="s">
        <v>540</v>
      </c>
      <c r="F4" s="16">
        <v>200</v>
      </c>
      <c r="G4" s="16">
        <v>300</v>
      </c>
      <c r="H4" s="16">
        <v>400</v>
      </c>
      <c r="I4" s="16">
        <v>500</v>
      </c>
      <c r="J4" s="16">
        <v>600</v>
      </c>
      <c r="K4" s="16">
        <v>700</v>
      </c>
      <c r="L4" s="16">
        <v>800</v>
      </c>
      <c r="M4" s="16">
        <v>900</v>
      </c>
      <c r="N4" s="16">
        <v>1000</v>
      </c>
    </row>
    <row r="5" spans="1:14">
      <c r="A5" s="221" t="s">
        <v>541</v>
      </c>
      <c r="B5" s="221" t="s">
        <v>397</v>
      </c>
      <c r="C5" s="221" t="s">
        <v>542</v>
      </c>
      <c r="D5" s="221" t="s">
        <v>503</v>
      </c>
      <c r="E5" s="221" t="s">
        <v>543</v>
      </c>
      <c r="F5" s="221" t="s">
        <v>504</v>
      </c>
      <c r="G5" s="221" t="s">
        <v>505</v>
      </c>
      <c r="H5" s="221" t="s">
        <v>506</v>
      </c>
      <c r="I5" s="221" t="s">
        <v>507</v>
      </c>
      <c r="J5" s="221" t="s">
        <v>508</v>
      </c>
      <c r="K5" s="221" t="s">
        <v>509</v>
      </c>
      <c r="L5" s="221" t="s">
        <v>510</v>
      </c>
      <c r="M5" s="221" t="s">
        <v>511</v>
      </c>
      <c r="N5" s="221" t="s">
        <v>512</v>
      </c>
    </row>
    <row r="6" spans="1:14">
      <c r="A6" s="223" t="s">
        <v>544</v>
      </c>
      <c r="B6" s="223">
        <v>4</v>
      </c>
      <c r="C6" s="223">
        <v>6.2</v>
      </c>
      <c r="D6" s="223" t="s">
        <v>514</v>
      </c>
      <c r="E6" s="223" t="s">
        <v>545</v>
      </c>
      <c r="F6" s="224">
        <v>0</v>
      </c>
      <c r="G6" s="224">
        <v>0</v>
      </c>
      <c r="H6" s="224">
        <v>0</v>
      </c>
      <c r="I6" s="224">
        <v>0</v>
      </c>
      <c r="J6" s="224">
        <v>0</v>
      </c>
      <c r="K6" s="224">
        <v>0</v>
      </c>
      <c r="L6" s="224">
        <v>0</v>
      </c>
      <c r="M6" s="224">
        <v>0</v>
      </c>
      <c r="N6" s="224">
        <v>0</v>
      </c>
    </row>
    <row r="7" spans="1:14">
      <c r="A7" s="222" t="s">
        <v>546</v>
      </c>
      <c r="B7" s="222">
        <v>6</v>
      </c>
      <c r="C7" s="222">
        <v>6.4</v>
      </c>
      <c r="D7" s="222" t="s">
        <v>514</v>
      </c>
      <c r="E7" s="222" t="s">
        <v>545</v>
      </c>
      <c r="F7" s="20">
        <v>200</v>
      </c>
      <c r="G7" s="20">
        <v>300</v>
      </c>
      <c r="H7" s="20">
        <v>400</v>
      </c>
      <c r="I7" s="20">
        <v>500</v>
      </c>
      <c r="J7" s="20">
        <v>600</v>
      </c>
      <c r="K7" s="20">
        <v>700</v>
      </c>
      <c r="L7" s="20">
        <v>800</v>
      </c>
      <c r="M7" s="20">
        <v>900</v>
      </c>
      <c r="N7" s="20">
        <v>1000</v>
      </c>
    </row>
    <row r="8" spans="1:14">
      <c r="A8" s="18" t="s">
        <v>547</v>
      </c>
      <c r="B8" s="18" t="s">
        <v>397</v>
      </c>
      <c r="C8" s="18" t="s">
        <v>548</v>
      </c>
      <c r="D8" s="18" t="s">
        <v>549</v>
      </c>
      <c r="E8" s="18" t="s">
        <v>543</v>
      </c>
      <c r="F8" s="21" t="s">
        <v>504</v>
      </c>
      <c r="G8" s="21" t="s">
        <v>505</v>
      </c>
      <c r="H8" s="21" t="s">
        <v>506</v>
      </c>
      <c r="I8" s="21" t="s">
        <v>507</v>
      </c>
      <c r="J8" s="21" t="s">
        <v>508</v>
      </c>
      <c r="K8" s="21" t="s">
        <v>509</v>
      </c>
      <c r="L8" s="21" t="s">
        <v>510</v>
      </c>
      <c r="M8" s="21" t="s">
        <v>511</v>
      </c>
      <c r="N8" s="21" t="s">
        <v>512</v>
      </c>
    </row>
    <row r="9" spans="1:14" hidden="1">
      <c r="A9" s="57" t="s">
        <v>550</v>
      </c>
      <c r="B9" s="57">
        <v>4</v>
      </c>
      <c r="C9" s="42">
        <f>'Vendor Register'!$E$4</f>
        <v>6</v>
      </c>
      <c r="D9" s="57" t="s">
        <v>514</v>
      </c>
      <c r="E9" s="57" t="s">
        <v>551</v>
      </c>
      <c r="F9" s="58">
        <f t="shared" ref="F9:N10" si="0">0</f>
        <v>0</v>
      </c>
      <c r="G9" s="58">
        <f t="shared" si="0"/>
        <v>0</v>
      </c>
      <c r="H9" s="58">
        <f t="shared" si="0"/>
        <v>0</v>
      </c>
      <c r="I9" s="58">
        <f t="shared" si="0"/>
        <v>0</v>
      </c>
      <c r="J9" s="58">
        <f t="shared" si="0"/>
        <v>0</v>
      </c>
      <c r="K9" s="58">
        <f t="shared" si="0"/>
        <v>0</v>
      </c>
      <c r="L9" s="58">
        <f t="shared" si="0"/>
        <v>0</v>
      </c>
      <c r="M9" s="58">
        <f t="shared" si="0"/>
        <v>0</v>
      </c>
      <c r="N9" s="58">
        <f t="shared" si="0"/>
        <v>0</v>
      </c>
    </row>
    <row r="10" spans="1:14" hidden="1">
      <c r="A10" s="57" t="s">
        <v>550</v>
      </c>
      <c r="B10" s="57">
        <v>6</v>
      </c>
      <c r="C10" s="42">
        <f>'Vendor Register'!$E$5</f>
        <v>7</v>
      </c>
      <c r="D10" s="57" t="s">
        <v>514</v>
      </c>
      <c r="E10" s="57" t="s">
        <v>551</v>
      </c>
      <c r="F10" s="58">
        <f t="shared" si="0"/>
        <v>0</v>
      </c>
      <c r="G10" s="58">
        <f t="shared" si="0"/>
        <v>0</v>
      </c>
      <c r="H10" s="58">
        <f t="shared" si="0"/>
        <v>0</v>
      </c>
      <c r="I10" s="58">
        <f t="shared" si="0"/>
        <v>0</v>
      </c>
      <c r="J10" s="58">
        <f t="shared" si="0"/>
        <v>0</v>
      </c>
      <c r="K10" s="58">
        <f t="shared" si="0"/>
        <v>0</v>
      </c>
      <c r="L10" s="58">
        <f t="shared" si="0"/>
        <v>0</v>
      </c>
      <c r="M10" s="58">
        <f t="shared" si="0"/>
        <v>0</v>
      </c>
      <c r="N10" s="58">
        <f t="shared" si="0"/>
        <v>0</v>
      </c>
    </row>
    <row r="11" spans="1:14" hidden="1">
      <c r="A11" s="57" t="s">
        <v>550</v>
      </c>
      <c r="B11" s="57">
        <v>10</v>
      </c>
      <c r="C11" s="42">
        <f>'Vendor Register'!$E$6</f>
        <v>8.1999999999999993</v>
      </c>
      <c r="D11" s="57" t="s">
        <v>514</v>
      </c>
      <c r="E11" s="57" t="s">
        <v>551</v>
      </c>
      <c r="F11" s="57">
        <f>0</f>
        <v>0</v>
      </c>
      <c r="G11" s="57">
        <f>0</f>
        <v>0</v>
      </c>
      <c r="H11" s="57">
        <f>0</f>
        <v>0</v>
      </c>
      <c r="I11" s="57">
        <f>0</f>
        <v>0</v>
      </c>
      <c r="J11" s="57">
        <f>0</f>
        <v>0</v>
      </c>
      <c r="K11" s="57">
        <f>0</f>
        <v>0</v>
      </c>
      <c r="L11" s="57">
        <f>0</f>
        <v>0</v>
      </c>
      <c r="M11" s="57">
        <f>0</f>
        <v>0</v>
      </c>
      <c r="N11" s="57">
        <f>0</f>
        <v>0</v>
      </c>
    </row>
    <row r="12" spans="1:14" hidden="1">
      <c r="A12" s="57" t="s">
        <v>550</v>
      </c>
      <c r="B12" s="57">
        <v>16</v>
      </c>
      <c r="C12" s="42">
        <f>'Vendor Register'!$E$7</f>
        <v>9.8000000000000007</v>
      </c>
      <c r="D12" s="57" t="s">
        <v>514</v>
      </c>
      <c r="E12" s="57" t="s">
        <v>551</v>
      </c>
      <c r="F12" s="57">
        <f>0</f>
        <v>0</v>
      </c>
      <c r="G12" s="57">
        <f>0</f>
        <v>0</v>
      </c>
      <c r="H12" s="57">
        <f>0</f>
        <v>0</v>
      </c>
      <c r="I12" s="57">
        <f>0</f>
        <v>0</v>
      </c>
      <c r="J12" s="57">
        <f>0</f>
        <v>0</v>
      </c>
      <c r="K12" s="57">
        <f>0</f>
        <v>0</v>
      </c>
      <c r="L12" s="57">
        <f>0</f>
        <v>0</v>
      </c>
      <c r="M12" s="57">
        <f>0</f>
        <v>0</v>
      </c>
      <c r="N12" s="57">
        <f>0</f>
        <v>0</v>
      </c>
    </row>
    <row r="13" spans="1:14" hidden="1"/>
    <row r="14" spans="1:14" ht="26.4">
      <c r="A14" s="50" t="s">
        <v>550</v>
      </c>
      <c r="B14" s="50">
        <v>4</v>
      </c>
      <c r="C14" s="42">
        <f>'Vendor Register'!$E$4</f>
        <v>6</v>
      </c>
      <c r="D14" s="50" t="s">
        <v>514</v>
      </c>
      <c r="E14" s="50" t="s">
        <v>552</v>
      </c>
      <c r="F14" s="99">
        <f>INT(F$7/(1.25*$C14))</f>
        <v>26</v>
      </c>
      <c r="G14" s="99">
        <f t="shared" ref="F14:N17" si="1">INT(G$7/(1.25*$C14))</f>
        <v>40</v>
      </c>
      <c r="H14" s="99">
        <f t="shared" si="1"/>
        <v>53</v>
      </c>
      <c r="I14" s="99">
        <f t="shared" si="1"/>
        <v>66</v>
      </c>
      <c r="J14" s="99">
        <f t="shared" si="1"/>
        <v>80</v>
      </c>
      <c r="K14" s="99">
        <f t="shared" si="1"/>
        <v>93</v>
      </c>
      <c r="L14" s="99">
        <f t="shared" si="1"/>
        <v>106</v>
      </c>
      <c r="M14" s="99">
        <f t="shared" si="1"/>
        <v>120</v>
      </c>
      <c r="N14" s="99">
        <f t="shared" si="1"/>
        <v>133</v>
      </c>
    </row>
    <row r="15" spans="1:14" ht="26.4">
      <c r="A15" s="50" t="s">
        <v>550</v>
      </c>
      <c r="B15" s="50">
        <v>6</v>
      </c>
      <c r="C15" s="42">
        <f>'Vendor Register'!$E$5</f>
        <v>7</v>
      </c>
      <c r="D15" s="50" t="s">
        <v>514</v>
      </c>
      <c r="E15" s="50" t="s">
        <v>552</v>
      </c>
      <c r="F15" s="99">
        <f t="shared" si="1"/>
        <v>22</v>
      </c>
      <c r="G15" s="99">
        <f t="shared" si="1"/>
        <v>34</v>
      </c>
      <c r="H15" s="99">
        <f t="shared" si="1"/>
        <v>45</v>
      </c>
      <c r="I15" s="99">
        <f t="shared" si="1"/>
        <v>57</v>
      </c>
      <c r="J15" s="99">
        <f t="shared" si="1"/>
        <v>68</v>
      </c>
      <c r="K15" s="99">
        <f t="shared" si="1"/>
        <v>80</v>
      </c>
      <c r="L15" s="99">
        <f t="shared" si="1"/>
        <v>91</v>
      </c>
      <c r="M15" s="99">
        <f t="shared" si="1"/>
        <v>102</v>
      </c>
      <c r="N15" s="99">
        <f t="shared" si="1"/>
        <v>114</v>
      </c>
    </row>
    <row r="16" spans="1:14" ht="26.4">
      <c r="A16" s="50" t="s">
        <v>550</v>
      </c>
      <c r="B16" s="50">
        <v>10</v>
      </c>
      <c r="C16" s="42">
        <f>'Vendor Register'!$E$6</f>
        <v>8.1999999999999993</v>
      </c>
      <c r="D16" s="50" t="s">
        <v>514</v>
      </c>
      <c r="E16" s="50" t="s">
        <v>552</v>
      </c>
      <c r="F16" s="99">
        <f t="shared" si="1"/>
        <v>19</v>
      </c>
      <c r="G16" s="99">
        <f t="shared" si="1"/>
        <v>29</v>
      </c>
      <c r="H16" s="99">
        <f t="shared" si="1"/>
        <v>39</v>
      </c>
      <c r="I16" s="99">
        <f t="shared" si="1"/>
        <v>48</v>
      </c>
      <c r="J16" s="99">
        <f t="shared" si="1"/>
        <v>58</v>
      </c>
      <c r="K16" s="99">
        <f t="shared" si="1"/>
        <v>68</v>
      </c>
      <c r="L16" s="99">
        <f t="shared" si="1"/>
        <v>78</v>
      </c>
      <c r="M16" s="99">
        <f t="shared" si="1"/>
        <v>87</v>
      </c>
      <c r="N16" s="99">
        <f t="shared" si="1"/>
        <v>97</v>
      </c>
    </row>
    <row r="17" spans="1:14" ht="26.4">
      <c r="A17" s="50" t="s">
        <v>550</v>
      </c>
      <c r="B17" s="50">
        <v>16</v>
      </c>
      <c r="C17" s="42">
        <f>'Vendor Register'!$E$7</f>
        <v>9.8000000000000007</v>
      </c>
      <c r="D17" s="50" t="s">
        <v>514</v>
      </c>
      <c r="E17" s="50" t="s">
        <v>552</v>
      </c>
      <c r="F17" s="99">
        <f t="shared" si="1"/>
        <v>16</v>
      </c>
      <c r="G17" s="99">
        <f t="shared" si="1"/>
        <v>24</v>
      </c>
      <c r="H17" s="99">
        <f t="shared" si="1"/>
        <v>32</v>
      </c>
      <c r="I17" s="99">
        <f t="shared" si="1"/>
        <v>40</v>
      </c>
      <c r="J17" s="99">
        <f t="shared" si="1"/>
        <v>48</v>
      </c>
      <c r="K17" s="99">
        <f t="shared" si="1"/>
        <v>57</v>
      </c>
      <c r="L17" s="99">
        <f t="shared" si="1"/>
        <v>65</v>
      </c>
      <c r="M17" s="99">
        <f t="shared" si="1"/>
        <v>73</v>
      </c>
      <c r="N17" s="99">
        <f t="shared" si="1"/>
        <v>81</v>
      </c>
    </row>
    <row r="20" spans="1:14">
      <c r="A20" s="202" t="s">
        <v>553</v>
      </c>
      <c r="B20" s="202"/>
      <c r="C20" s="202"/>
      <c r="D20" s="202"/>
      <c r="E20" s="202"/>
      <c r="F20" s="202"/>
      <c r="G20" s="202"/>
      <c r="H20" s="202"/>
      <c r="I20" s="202"/>
      <c r="J20" s="202"/>
      <c r="K20" s="202"/>
      <c r="L20" s="202"/>
      <c r="M20" s="202"/>
      <c r="N20" s="202"/>
    </row>
    <row r="21" spans="1:14">
      <c r="A21" s="225" t="s">
        <v>554</v>
      </c>
      <c r="B21" s="225"/>
      <c r="C21" s="225"/>
      <c r="D21" s="225"/>
      <c r="E21" s="225"/>
      <c r="F21" s="225"/>
      <c r="G21" s="225"/>
      <c r="H21" s="225"/>
      <c r="I21" s="225"/>
      <c r="J21" s="225"/>
      <c r="K21" s="225"/>
      <c r="L21" s="225"/>
      <c r="M21" s="225"/>
      <c r="N21" s="225"/>
    </row>
    <row r="22" spans="1:14">
      <c r="A22" s="226" t="s">
        <v>544</v>
      </c>
      <c r="B22" s="226"/>
      <c r="C22" s="226"/>
      <c r="D22" s="226"/>
      <c r="E22" s="226"/>
      <c r="F22" s="226"/>
      <c r="G22" s="226"/>
      <c r="H22" s="226"/>
      <c r="I22" s="226"/>
      <c r="J22" s="226"/>
      <c r="K22" s="226"/>
      <c r="L22" s="226"/>
      <c r="M22" s="226"/>
      <c r="N22" s="226"/>
    </row>
    <row r="23" spans="1:14">
      <c r="A23" s="222" t="s">
        <v>546</v>
      </c>
      <c r="B23" s="222"/>
      <c r="C23" s="222"/>
      <c r="D23" s="222"/>
      <c r="E23" s="222"/>
      <c r="F23" s="19">
        <v>200</v>
      </c>
      <c r="G23" s="19">
        <v>300</v>
      </c>
      <c r="H23" s="19">
        <v>400</v>
      </c>
      <c r="I23" s="19">
        <v>500</v>
      </c>
      <c r="J23" s="19">
        <v>600</v>
      </c>
      <c r="K23" s="19">
        <v>700</v>
      </c>
      <c r="L23" s="19">
        <v>800</v>
      </c>
      <c r="M23" s="19">
        <v>900</v>
      </c>
      <c r="N23" s="19">
        <v>1000</v>
      </c>
    </row>
    <row r="24" spans="1:14" ht="35.1" customHeight="1">
      <c r="A24" s="18" t="s">
        <v>547</v>
      </c>
      <c r="B24" s="18" t="s">
        <v>397</v>
      </c>
      <c r="C24" s="18" t="s">
        <v>548</v>
      </c>
      <c r="D24" s="18" t="s">
        <v>549</v>
      </c>
      <c r="E24" s="18" t="s">
        <v>543</v>
      </c>
      <c r="F24" s="18" t="s">
        <v>504</v>
      </c>
      <c r="G24" s="18" t="s">
        <v>505</v>
      </c>
      <c r="H24" s="18" t="s">
        <v>506</v>
      </c>
      <c r="I24" s="18" t="s">
        <v>507</v>
      </c>
      <c r="J24" s="18" t="s">
        <v>508</v>
      </c>
      <c r="K24" s="18" t="s">
        <v>509</v>
      </c>
      <c r="L24" s="18" t="s">
        <v>510</v>
      </c>
      <c r="M24" s="18" t="s">
        <v>511</v>
      </c>
      <c r="N24" s="18" t="s">
        <v>512</v>
      </c>
    </row>
    <row r="25" spans="1:14" hidden="1">
      <c r="A25" s="57" t="s">
        <v>550</v>
      </c>
      <c r="B25" s="57">
        <v>4</v>
      </c>
      <c r="C25" s="42">
        <f>'Vendor Register'!$E$4</f>
        <v>6</v>
      </c>
      <c r="D25" s="57" t="s">
        <v>514</v>
      </c>
      <c r="E25" s="57" t="s">
        <v>551</v>
      </c>
      <c r="F25" s="57">
        <f>0</f>
        <v>0</v>
      </c>
      <c r="G25" s="57">
        <f>0</f>
        <v>0</v>
      </c>
      <c r="H25" s="57">
        <f>0</f>
        <v>0</v>
      </c>
      <c r="I25" s="57">
        <f>0</f>
        <v>0</v>
      </c>
      <c r="J25" s="57">
        <f>0</f>
        <v>0</v>
      </c>
      <c r="K25" s="57">
        <f>0</f>
        <v>0</v>
      </c>
      <c r="L25" s="57">
        <f>0</f>
        <v>0</v>
      </c>
      <c r="M25" s="57">
        <f>0</f>
        <v>0</v>
      </c>
      <c r="N25" s="57">
        <f>0</f>
        <v>0</v>
      </c>
    </row>
    <row r="26" spans="1:14" hidden="1">
      <c r="A26" s="57" t="s">
        <v>550</v>
      </c>
      <c r="B26" s="57">
        <v>6</v>
      </c>
      <c r="C26" s="42">
        <f>'Vendor Register'!$E$5</f>
        <v>7</v>
      </c>
      <c r="D26" s="57" t="s">
        <v>514</v>
      </c>
      <c r="E26" s="57" t="s">
        <v>551</v>
      </c>
      <c r="F26" s="57">
        <f>0</f>
        <v>0</v>
      </c>
      <c r="G26" s="57">
        <f>0</f>
        <v>0</v>
      </c>
      <c r="H26" s="57">
        <f>0</f>
        <v>0</v>
      </c>
      <c r="I26" s="57">
        <f>0</f>
        <v>0</v>
      </c>
      <c r="J26" s="57">
        <f>0</f>
        <v>0</v>
      </c>
      <c r="K26" s="57">
        <f>0</f>
        <v>0</v>
      </c>
      <c r="L26" s="57">
        <f>0</f>
        <v>0</v>
      </c>
      <c r="M26" s="57">
        <f>0</f>
        <v>0</v>
      </c>
      <c r="N26" s="57">
        <f>0</f>
        <v>0</v>
      </c>
    </row>
    <row r="27" spans="1:14" hidden="1">
      <c r="A27" s="57" t="s">
        <v>550</v>
      </c>
      <c r="B27" s="57">
        <v>10</v>
      </c>
      <c r="C27" s="42">
        <f>'Vendor Register'!$E$6</f>
        <v>8.1999999999999993</v>
      </c>
      <c r="D27" s="57" t="s">
        <v>514</v>
      </c>
      <c r="E27" s="57" t="s">
        <v>551</v>
      </c>
      <c r="F27" s="57">
        <f>0</f>
        <v>0</v>
      </c>
      <c r="G27" s="57">
        <f>0</f>
        <v>0</v>
      </c>
      <c r="H27" s="57">
        <f>0</f>
        <v>0</v>
      </c>
      <c r="I27" s="57">
        <f>0</f>
        <v>0</v>
      </c>
      <c r="J27" s="57">
        <f>0</f>
        <v>0</v>
      </c>
      <c r="K27" s="57">
        <f>0</f>
        <v>0</v>
      </c>
      <c r="L27" s="57">
        <f>0</f>
        <v>0</v>
      </c>
      <c r="M27" s="57">
        <f>0</f>
        <v>0</v>
      </c>
      <c r="N27" s="57">
        <f>0</f>
        <v>0</v>
      </c>
    </row>
    <row r="28" spans="1:14" hidden="1">
      <c r="A28" s="57" t="s">
        <v>550</v>
      </c>
      <c r="B28" s="57">
        <v>16</v>
      </c>
      <c r="C28" s="42">
        <f>'Vendor Register'!$E$7</f>
        <v>9.8000000000000007</v>
      </c>
      <c r="D28" s="57" t="s">
        <v>514</v>
      </c>
      <c r="E28" s="57" t="s">
        <v>551</v>
      </c>
      <c r="F28" s="57">
        <f>0</f>
        <v>0</v>
      </c>
      <c r="G28" s="57">
        <f>0</f>
        <v>0</v>
      </c>
      <c r="H28" s="57">
        <f>0</f>
        <v>0</v>
      </c>
      <c r="I28" s="57">
        <f>0</f>
        <v>0</v>
      </c>
      <c r="J28" s="57">
        <f>0</f>
        <v>0</v>
      </c>
      <c r="K28" s="57">
        <f>0</f>
        <v>0</v>
      </c>
      <c r="L28" s="57">
        <f>0</f>
        <v>0</v>
      </c>
      <c r="M28" s="57">
        <f>0</f>
        <v>0</v>
      </c>
      <c r="N28" s="57">
        <f>0</f>
        <v>0</v>
      </c>
    </row>
    <row r="29" spans="1:14" hidden="1"/>
    <row r="30" spans="1:14" ht="26.4">
      <c r="A30" s="50" t="s">
        <v>550</v>
      </c>
      <c r="B30" s="50">
        <v>4</v>
      </c>
      <c r="C30" s="42">
        <f>'Vendor Register'!$E$4</f>
        <v>6</v>
      </c>
      <c r="D30" s="50" t="s">
        <v>514</v>
      </c>
      <c r="E30" s="50" t="s">
        <v>552</v>
      </c>
      <c r="F30" s="99">
        <f t="shared" ref="F30:N33" si="2">INT(F$23/(1.25*$C30))</f>
        <v>26</v>
      </c>
      <c r="G30" s="99">
        <f t="shared" si="2"/>
        <v>40</v>
      </c>
      <c r="H30" s="99">
        <f t="shared" si="2"/>
        <v>53</v>
      </c>
      <c r="I30" s="99">
        <f t="shared" si="2"/>
        <v>66</v>
      </c>
      <c r="J30" s="99">
        <f t="shared" si="2"/>
        <v>80</v>
      </c>
      <c r="K30" s="99">
        <f t="shared" si="2"/>
        <v>93</v>
      </c>
      <c r="L30" s="99">
        <f t="shared" si="2"/>
        <v>106</v>
      </c>
      <c r="M30" s="99">
        <f t="shared" si="2"/>
        <v>120</v>
      </c>
      <c r="N30" s="99">
        <f t="shared" si="2"/>
        <v>133</v>
      </c>
    </row>
    <row r="31" spans="1:14" ht="26.4">
      <c r="A31" s="50" t="s">
        <v>550</v>
      </c>
      <c r="B31" s="50">
        <v>6</v>
      </c>
      <c r="C31" s="42">
        <f>'Vendor Register'!$E$5</f>
        <v>7</v>
      </c>
      <c r="D31" s="50" t="s">
        <v>514</v>
      </c>
      <c r="E31" s="50" t="s">
        <v>552</v>
      </c>
      <c r="F31" s="99">
        <f t="shared" si="2"/>
        <v>22</v>
      </c>
      <c r="G31" s="99">
        <f t="shared" si="2"/>
        <v>34</v>
      </c>
      <c r="H31" s="99">
        <f t="shared" si="2"/>
        <v>45</v>
      </c>
      <c r="I31" s="99">
        <f t="shared" si="2"/>
        <v>57</v>
      </c>
      <c r="J31" s="99">
        <f t="shared" si="2"/>
        <v>68</v>
      </c>
      <c r="K31" s="99">
        <f t="shared" si="2"/>
        <v>80</v>
      </c>
      <c r="L31" s="99">
        <f t="shared" si="2"/>
        <v>91</v>
      </c>
      <c r="M31" s="99">
        <f t="shared" si="2"/>
        <v>102</v>
      </c>
      <c r="N31" s="99">
        <f t="shared" si="2"/>
        <v>114</v>
      </c>
    </row>
    <row r="32" spans="1:14" ht="26.4">
      <c r="A32" s="50" t="s">
        <v>550</v>
      </c>
      <c r="B32" s="50">
        <v>10</v>
      </c>
      <c r="C32" s="42">
        <f>'Vendor Register'!$E$6</f>
        <v>8.1999999999999993</v>
      </c>
      <c r="D32" s="50" t="s">
        <v>514</v>
      </c>
      <c r="E32" s="50" t="s">
        <v>552</v>
      </c>
      <c r="F32" s="99">
        <f t="shared" si="2"/>
        <v>19</v>
      </c>
      <c r="G32" s="99">
        <f t="shared" si="2"/>
        <v>29</v>
      </c>
      <c r="H32" s="99">
        <f t="shared" si="2"/>
        <v>39</v>
      </c>
      <c r="I32" s="99">
        <f t="shared" si="2"/>
        <v>48</v>
      </c>
      <c r="J32" s="99">
        <f t="shared" si="2"/>
        <v>58</v>
      </c>
      <c r="K32" s="99">
        <f t="shared" si="2"/>
        <v>68</v>
      </c>
      <c r="L32" s="99">
        <f t="shared" si="2"/>
        <v>78</v>
      </c>
      <c r="M32" s="99">
        <f t="shared" si="2"/>
        <v>87</v>
      </c>
      <c r="N32" s="99">
        <f t="shared" si="2"/>
        <v>97</v>
      </c>
    </row>
    <row r="33" spans="1:14" ht="26.4">
      <c r="A33" s="50" t="s">
        <v>550</v>
      </c>
      <c r="B33" s="50">
        <v>16</v>
      </c>
      <c r="C33" s="42">
        <f>'Vendor Register'!$E$7</f>
        <v>9.8000000000000007</v>
      </c>
      <c r="D33" s="50" t="s">
        <v>514</v>
      </c>
      <c r="E33" s="50" t="s">
        <v>552</v>
      </c>
      <c r="F33" s="99">
        <f t="shared" si="2"/>
        <v>16</v>
      </c>
      <c r="G33" s="99">
        <f t="shared" si="2"/>
        <v>24</v>
      </c>
      <c r="H33" s="99">
        <f t="shared" si="2"/>
        <v>32</v>
      </c>
      <c r="I33" s="99">
        <f t="shared" si="2"/>
        <v>40</v>
      </c>
      <c r="J33" s="99">
        <f t="shared" si="2"/>
        <v>48</v>
      </c>
      <c r="K33" s="99">
        <f t="shared" si="2"/>
        <v>57</v>
      </c>
      <c r="L33" s="99">
        <f t="shared" si="2"/>
        <v>65</v>
      </c>
      <c r="M33" s="99">
        <f t="shared" si="2"/>
        <v>73</v>
      </c>
      <c r="N33" s="99">
        <f t="shared" si="2"/>
        <v>81</v>
      </c>
    </row>
    <row r="36" spans="1:14">
      <c r="A36" s="202" t="s">
        <v>555</v>
      </c>
      <c r="B36" s="202" t="s">
        <v>555</v>
      </c>
      <c r="C36" s="202" t="s">
        <v>555</v>
      </c>
      <c r="D36" s="202" t="s">
        <v>555</v>
      </c>
      <c r="E36" s="202" t="s">
        <v>555</v>
      </c>
      <c r="F36" s="202" t="s">
        <v>555</v>
      </c>
      <c r="G36" s="202" t="s">
        <v>555</v>
      </c>
      <c r="H36" s="202" t="s">
        <v>555</v>
      </c>
    </row>
    <row r="37" spans="1:14" ht="36" customHeight="1">
      <c r="A37" s="218" t="s">
        <v>556</v>
      </c>
      <c r="B37" s="218" t="s">
        <v>556</v>
      </c>
      <c r="C37" s="218" t="s">
        <v>556</v>
      </c>
      <c r="D37" s="218" t="s">
        <v>556</v>
      </c>
      <c r="E37" s="218" t="s">
        <v>556</v>
      </c>
      <c r="F37" s="218" t="s">
        <v>556</v>
      </c>
      <c r="G37" s="218" t="s">
        <v>556</v>
      </c>
      <c r="H37" s="218" t="s">
        <v>556</v>
      </c>
    </row>
    <row r="38" spans="1:14" ht="39.6">
      <c r="A38" s="18" t="s">
        <v>173</v>
      </c>
      <c r="B38" s="18" t="s">
        <v>176</v>
      </c>
      <c r="C38" s="18" t="s">
        <v>557</v>
      </c>
      <c r="D38" s="18" t="s">
        <v>549</v>
      </c>
      <c r="E38" s="18" t="s">
        <v>558</v>
      </c>
      <c r="F38" s="18" t="s">
        <v>559</v>
      </c>
      <c r="G38" s="18" t="s">
        <v>560</v>
      </c>
      <c r="H38" s="18" t="s">
        <v>561</v>
      </c>
    </row>
    <row r="39" spans="1:14">
      <c r="A39" s="50" t="s">
        <v>180</v>
      </c>
      <c r="B39" s="50">
        <v>4</v>
      </c>
      <c r="C39" s="42">
        <f>'Vendor Register'!$E$4</f>
        <v>6</v>
      </c>
      <c r="D39" s="29" t="s">
        <v>514</v>
      </c>
      <c r="E39" s="98">
        <v>400</v>
      </c>
      <c r="F39" s="95">
        <f>INT(E39/(1.25*C39))</f>
        <v>53</v>
      </c>
      <c r="G39" s="32">
        <f>F39*C39</f>
        <v>318</v>
      </c>
      <c r="H39" s="38">
        <f>IFERROR(G39/E39,"")</f>
        <v>0.79500000000000004</v>
      </c>
    </row>
    <row r="40" spans="1:14">
      <c r="A40" s="50" t="s">
        <v>185</v>
      </c>
      <c r="B40" s="50">
        <v>6</v>
      </c>
      <c r="C40" s="42">
        <f>'Vendor Register'!$E$5</f>
        <v>7</v>
      </c>
      <c r="D40" s="29" t="s">
        <v>514</v>
      </c>
      <c r="E40" s="98">
        <v>400</v>
      </c>
      <c r="F40" s="95">
        <f>INT(E40/(1.25*C40))</f>
        <v>45</v>
      </c>
      <c r="G40" s="32">
        <f>F40*C40</f>
        <v>315</v>
      </c>
      <c r="H40" s="38">
        <f>IFERROR(G40/E40,"")</f>
        <v>0.78749999999999998</v>
      </c>
    </row>
    <row r="41" spans="1:14">
      <c r="A41" s="50" t="s">
        <v>186</v>
      </c>
      <c r="B41" s="50">
        <v>10</v>
      </c>
      <c r="C41" s="42">
        <f>'Vendor Register'!$E$6</f>
        <v>8.1999999999999993</v>
      </c>
      <c r="D41" s="29" t="s">
        <v>514</v>
      </c>
      <c r="E41" s="98">
        <v>400</v>
      </c>
      <c r="F41" s="95">
        <f>INT(E41/(1.25*C41))</f>
        <v>39</v>
      </c>
      <c r="G41" s="32">
        <f>F41*C41</f>
        <v>319.79999999999995</v>
      </c>
      <c r="H41" s="38">
        <f>IFERROR(G41/E41,"")</f>
        <v>0.79949999999999988</v>
      </c>
    </row>
    <row r="42" spans="1:14">
      <c r="A42" s="50" t="s">
        <v>187</v>
      </c>
      <c r="B42" s="50">
        <v>16</v>
      </c>
      <c r="C42" s="42">
        <f>'Vendor Register'!$E$7</f>
        <v>9.8000000000000007</v>
      </c>
      <c r="D42" s="29" t="s">
        <v>514</v>
      </c>
      <c r="E42" s="98">
        <v>400</v>
      </c>
      <c r="F42" s="95">
        <f>INT(E42/(1.25*C42))</f>
        <v>32</v>
      </c>
      <c r="G42" s="32">
        <f>F42*C42</f>
        <v>313.60000000000002</v>
      </c>
      <c r="H42" s="38">
        <f>IFERROR(G42/E42,"")</f>
        <v>0.78400000000000003</v>
      </c>
    </row>
    <row r="43" spans="1:14">
      <c r="A43" s="217" t="s">
        <v>562</v>
      </c>
      <c r="B43" s="217"/>
      <c r="C43" s="217"/>
      <c r="D43" s="217"/>
      <c r="E43" s="217"/>
      <c r="F43" s="217"/>
      <c r="G43" s="217"/>
      <c r="H43" s="217"/>
    </row>
    <row r="45" spans="1:14">
      <c r="A45" s="202" t="s">
        <v>563</v>
      </c>
      <c r="B45" s="202" t="s">
        <v>563</v>
      </c>
      <c r="C45" s="202" t="s">
        <v>563</v>
      </c>
      <c r="D45" s="202" t="s">
        <v>563</v>
      </c>
      <c r="E45" s="202" t="s">
        <v>563</v>
      </c>
      <c r="F45" s="202" t="s">
        <v>563</v>
      </c>
      <c r="G45" s="202" t="s">
        <v>563</v>
      </c>
      <c r="H45" s="202" t="s">
        <v>563</v>
      </c>
    </row>
    <row r="46" spans="1:14" ht="32.25" customHeight="1">
      <c r="A46" s="219" t="s">
        <v>564</v>
      </c>
      <c r="B46" s="219" t="s">
        <v>564</v>
      </c>
      <c r="C46" s="219" t="s">
        <v>564</v>
      </c>
      <c r="D46" s="219" t="s">
        <v>564</v>
      </c>
      <c r="E46" s="219" t="s">
        <v>564</v>
      </c>
      <c r="F46" s="219" t="s">
        <v>564</v>
      </c>
      <c r="G46" s="219" t="s">
        <v>564</v>
      </c>
      <c r="H46" s="219" t="s">
        <v>564</v>
      </c>
    </row>
    <row r="48" spans="1:14" ht="39.6">
      <c r="A48" s="18" t="s">
        <v>173</v>
      </c>
      <c r="B48" s="18" t="s">
        <v>176</v>
      </c>
      <c r="C48" s="18" t="s">
        <v>557</v>
      </c>
      <c r="D48" s="18" t="s">
        <v>549</v>
      </c>
      <c r="E48" s="18" t="s">
        <v>558</v>
      </c>
      <c r="F48" s="18" t="s">
        <v>559</v>
      </c>
      <c r="G48" s="18" t="s">
        <v>560</v>
      </c>
      <c r="H48" s="18" t="s">
        <v>561</v>
      </c>
    </row>
    <row r="49" spans="1:8">
      <c r="A49" s="50" t="s">
        <v>180</v>
      </c>
      <c r="B49" s="50">
        <v>4</v>
      </c>
      <c r="C49" s="42">
        <f>'Vendor Register'!$E$4</f>
        <v>6</v>
      </c>
      <c r="D49" s="29" t="s">
        <v>514</v>
      </c>
      <c r="E49" s="98">
        <v>400</v>
      </c>
      <c r="F49" s="95">
        <f>INT(0.8*E49/C49)</f>
        <v>53</v>
      </c>
      <c r="G49" s="32">
        <f>F49*C49</f>
        <v>318</v>
      </c>
      <c r="H49" s="38">
        <f>IFERROR(G49/E49,"")</f>
        <v>0.79500000000000004</v>
      </c>
    </row>
    <row r="50" spans="1:8">
      <c r="A50" s="50" t="s">
        <v>185</v>
      </c>
      <c r="B50" s="50">
        <v>6</v>
      </c>
      <c r="C50" s="42">
        <f>'Vendor Register'!$E$5</f>
        <v>7</v>
      </c>
      <c r="D50" s="29" t="s">
        <v>514</v>
      </c>
      <c r="E50" s="98">
        <v>400</v>
      </c>
      <c r="F50" s="95">
        <f>INT(0.8*E50/C50)</f>
        <v>45</v>
      </c>
      <c r="G50" s="32">
        <f>F50*C50</f>
        <v>315</v>
      </c>
      <c r="H50" s="38">
        <f>IFERROR(G50/E50,"")</f>
        <v>0.78749999999999998</v>
      </c>
    </row>
    <row r="51" spans="1:8">
      <c r="A51" s="50" t="s">
        <v>186</v>
      </c>
      <c r="B51" s="50">
        <v>10</v>
      </c>
      <c r="C51" s="42">
        <f>'Vendor Register'!$E$6</f>
        <v>8.1999999999999993</v>
      </c>
      <c r="D51" s="29" t="s">
        <v>514</v>
      </c>
      <c r="E51" s="98">
        <v>400</v>
      </c>
      <c r="F51" s="95">
        <f>INT(0.8*E51/C51)</f>
        <v>39</v>
      </c>
      <c r="G51" s="32">
        <f>F51*C51</f>
        <v>319.79999999999995</v>
      </c>
      <c r="H51" s="38">
        <f>IFERROR(G51/E51,"")</f>
        <v>0.79949999999999988</v>
      </c>
    </row>
    <row r="52" spans="1:8">
      <c r="A52" s="50" t="s">
        <v>187</v>
      </c>
      <c r="B52" s="50">
        <v>16</v>
      </c>
      <c r="C52" s="42">
        <f>'Vendor Register'!$E$7</f>
        <v>9.8000000000000007</v>
      </c>
      <c r="D52" s="29" t="s">
        <v>514</v>
      </c>
      <c r="E52" s="98">
        <v>400</v>
      </c>
      <c r="F52" s="95">
        <f>INT(0.8*E52/C52)</f>
        <v>32</v>
      </c>
      <c r="G52" s="32">
        <f>F52*C52</f>
        <v>313.60000000000002</v>
      </c>
      <c r="H52" s="38">
        <f>IFERROR(G52/E52,"")</f>
        <v>0.78400000000000003</v>
      </c>
    </row>
    <row r="53" spans="1:8">
      <c r="A53" s="217" t="s">
        <v>565</v>
      </c>
      <c r="B53" s="217"/>
      <c r="C53" s="217"/>
      <c r="D53" s="217"/>
      <c r="E53" s="217"/>
      <c r="F53" s="217"/>
      <c r="G53" s="217"/>
      <c r="H53" s="217"/>
    </row>
  </sheetData>
  <mergeCells count="17">
    <mergeCell ref="A23:E23"/>
    <mergeCell ref="A6:N6"/>
    <mergeCell ref="A7:E7"/>
    <mergeCell ref="A20:N20"/>
    <mergeCell ref="A21:N21"/>
    <mergeCell ref="A22:N22"/>
    <mergeCell ref="A1:N1"/>
    <mergeCell ref="A2:N2"/>
    <mergeCell ref="A3:N3"/>
    <mergeCell ref="A4:E4"/>
    <mergeCell ref="A5:N5"/>
    <mergeCell ref="A53:H53"/>
    <mergeCell ref="A36:H36"/>
    <mergeCell ref="A37:H37"/>
    <mergeCell ref="A43:H43"/>
    <mergeCell ref="A45:H45"/>
    <mergeCell ref="A46:H46"/>
  </mergeCells>
  <conditionalFormatting sqref="D39:D42">
    <cfRule type="containsText" dxfId="79" priority="7" operator="containsText" text="PASS"/>
    <cfRule type="containsText" dxfId="78" priority="8" operator="containsText" text="FAIL"/>
    <cfRule type="containsText" dxfId="77" priority="9" operator="containsText" text="CHECK"/>
    <cfRule type="containsText" dxfId="76" priority="10" operator="containsText" text="NOT PERMITTED"/>
  </conditionalFormatting>
  <conditionalFormatting sqref="D49:D52">
    <cfRule type="containsText" dxfId="75" priority="1" operator="containsText" text="PASS"/>
    <cfRule type="containsText" dxfId="74" priority="2" operator="containsText" text="FAIL"/>
    <cfRule type="containsText" dxfId="73" priority="3" operator="containsText" text="CHECK"/>
    <cfRule type="containsText" dxfId="72" priority="4" operator="containsText" text="NOT PERMITTED"/>
  </conditionalFormatting>
  <conditionalFormatting sqref="D9:E17 D25:E33">
    <cfRule type="containsText" dxfId="71" priority="11" operator="containsText" text="PASS"/>
    <cfRule type="containsText" dxfId="70" priority="13" operator="containsText" text="FAIL"/>
    <cfRule type="containsText" dxfId="69" priority="14" operator="containsText" text="CHECK"/>
    <cfRule type="containsText" dxfId="68" priority="16" operator="containsText" text="NOT PERMITTED"/>
  </conditionalFormatting>
  <conditionalFormatting sqref="F14:N17">
    <cfRule type="colorScale" priority="6">
      <colorScale>
        <cfvo type="min"/>
        <cfvo type="max"/>
        <color rgb="FFFCFCFF"/>
        <color rgb="FF63BE7B"/>
      </colorScale>
    </cfRule>
  </conditionalFormatting>
  <conditionalFormatting sqref="F30:N33">
    <cfRule type="colorScale" priority="5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rgb="FF00B0F0"/>
  </sheetPr>
  <dimension ref="A1:X50"/>
  <sheetViews>
    <sheetView showGridLines="0" topLeftCell="A15" zoomScale="85" zoomScaleNormal="85" workbookViewId="0">
      <selection activeCell="C21" sqref="C21"/>
    </sheetView>
  </sheetViews>
  <sheetFormatPr defaultRowHeight="13.8"/>
  <cols>
    <col min="1" max="1" width="18" customWidth="1"/>
    <col min="2" max="3" width="12" customWidth="1"/>
    <col min="4" max="4" width="15" customWidth="1"/>
    <col min="5" max="5" width="17" customWidth="1"/>
    <col min="6" max="6" width="15" customWidth="1"/>
    <col min="7" max="7" width="16" customWidth="1"/>
    <col min="8" max="8" width="18" customWidth="1"/>
    <col min="9" max="9" width="12" customWidth="1"/>
    <col min="10" max="10" width="13" customWidth="1"/>
    <col min="11" max="12" width="14" customWidth="1"/>
    <col min="13" max="13" width="24" customWidth="1"/>
    <col min="15" max="15" width="18" customWidth="1"/>
    <col min="16" max="17" width="10" customWidth="1"/>
    <col min="18" max="18" width="16" customWidth="1"/>
    <col min="19" max="22" width="12" customWidth="1"/>
    <col min="23" max="23" width="22" customWidth="1"/>
    <col min="24" max="24" width="38" customWidth="1"/>
  </cols>
  <sheetData>
    <row r="1" spans="1:24" ht="27.9" customHeight="1">
      <c r="A1" s="196" t="s">
        <v>566</v>
      </c>
      <c r="B1" s="196" t="s">
        <v>566</v>
      </c>
      <c r="C1" s="196" t="s">
        <v>566</v>
      </c>
      <c r="D1" s="196" t="s">
        <v>566</v>
      </c>
      <c r="E1" s="196" t="s">
        <v>566</v>
      </c>
      <c r="F1" s="196" t="s">
        <v>566</v>
      </c>
      <c r="G1" s="196" t="s">
        <v>566</v>
      </c>
      <c r="H1" s="196" t="s">
        <v>566</v>
      </c>
      <c r="I1" s="196" t="s">
        <v>566</v>
      </c>
      <c r="J1" s="196" t="s">
        <v>566</v>
      </c>
    </row>
    <row r="2" spans="1:24" ht="36" customHeight="1">
      <c r="A2" s="228" t="s">
        <v>567</v>
      </c>
      <c r="B2" s="228" t="s">
        <v>568</v>
      </c>
      <c r="C2" s="228" t="s">
        <v>568</v>
      </c>
      <c r="D2" s="228" t="s">
        <v>568</v>
      </c>
      <c r="E2" s="228" t="s">
        <v>568</v>
      </c>
      <c r="F2" s="228" t="s">
        <v>568</v>
      </c>
      <c r="G2" s="228" t="s">
        <v>568</v>
      </c>
      <c r="H2" s="228" t="s">
        <v>568</v>
      </c>
      <c r="I2" s="228" t="s">
        <v>568</v>
      </c>
      <c r="J2" s="228" t="s">
        <v>568</v>
      </c>
    </row>
    <row r="3" spans="1:24">
      <c r="A3" s="214" t="s">
        <v>569</v>
      </c>
      <c r="B3" s="214" t="s">
        <v>570</v>
      </c>
      <c r="C3" s="214" t="s">
        <v>570</v>
      </c>
      <c r="D3" s="214" t="s">
        <v>570</v>
      </c>
      <c r="E3" s="214" t="s">
        <v>570</v>
      </c>
      <c r="F3" s="214" t="s">
        <v>570</v>
      </c>
      <c r="G3" s="214" t="s">
        <v>570</v>
      </c>
      <c r="H3" s="214" t="s">
        <v>570</v>
      </c>
      <c r="I3" s="214" t="s">
        <v>570</v>
      </c>
      <c r="J3" s="214" t="s">
        <v>570</v>
      </c>
    </row>
    <row r="4" spans="1:24" ht="15.6">
      <c r="A4" s="177" t="s">
        <v>611</v>
      </c>
    </row>
    <row r="5" spans="1:24" ht="35.1" customHeight="1">
      <c r="A5" s="18" t="s">
        <v>571</v>
      </c>
      <c r="B5" s="18" t="s">
        <v>572</v>
      </c>
      <c r="C5" s="18" t="s">
        <v>573</v>
      </c>
      <c r="D5" s="18" t="s">
        <v>393</v>
      </c>
      <c r="E5" s="18" t="s">
        <v>574</v>
      </c>
      <c r="F5" s="18" t="s">
        <v>575</v>
      </c>
      <c r="G5" s="18" t="s">
        <v>576</v>
      </c>
      <c r="H5" s="18" t="s">
        <v>577</v>
      </c>
      <c r="I5" s="18" t="s">
        <v>578</v>
      </c>
      <c r="J5" s="18" t="s">
        <v>579</v>
      </c>
      <c r="O5" s="161" t="s">
        <v>713</v>
      </c>
      <c r="P5" s="161" t="s">
        <v>714</v>
      </c>
      <c r="Q5" s="161" t="s">
        <v>715</v>
      </c>
      <c r="R5" s="161" t="s">
        <v>393</v>
      </c>
      <c r="S5" s="161" t="s">
        <v>716</v>
      </c>
      <c r="T5" s="161" t="s">
        <v>717</v>
      </c>
      <c r="U5" s="161" t="s">
        <v>718</v>
      </c>
      <c r="V5" s="161" t="s">
        <v>719</v>
      </c>
      <c r="W5" s="161" t="s">
        <v>578</v>
      </c>
      <c r="X5" s="161" t="s">
        <v>579</v>
      </c>
    </row>
    <row r="6" spans="1:24" ht="27.9" customHeight="1">
      <c r="A6" s="29" t="s">
        <v>580</v>
      </c>
      <c r="B6" s="101">
        <v>50</v>
      </c>
      <c r="C6" s="101">
        <v>50</v>
      </c>
      <c r="D6" s="130">
        <f t="shared" ref="D6:D14" si="0">IF(OR(B6="",C6=""),"",B6*C6)</f>
        <v>2500</v>
      </c>
      <c r="E6" s="159">
        <f>IFERROR(INT(0.2*$D6/(PI()*'Vendor Register'!$E$4^2/4)),"")</f>
        <v>17</v>
      </c>
      <c r="F6" s="159">
        <f>IFERROR(INT(0.2*$D6/(PI()*'Vendor Register'!$E$5^2/4)),"")</f>
        <v>12</v>
      </c>
      <c r="G6" s="159">
        <f>IFERROR(INT(0.2*$D6/(PI()*'Vendor Register'!$E$6^2/4)),"")</f>
        <v>9</v>
      </c>
      <c r="H6" s="159">
        <f>IFERROR(INT(0.2*$D6/(PI()*'Vendor Register'!$E$7^2/4)),"")</f>
        <v>6</v>
      </c>
      <c r="I6" s="188" t="str">
        <f>IF(MAX(E6:H6)&gt;30,"DERATING CHECK &gt;30 CCC","&lt;=30 CCC SCREEN")</f>
        <v>&lt;=30 CCC SCREEN</v>
      </c>
      <c r="J6" s="189" t="str">
        <f t="shared" ref="J6:J14" si="1">IF(I6="DERATING CHECK &gt;30 CCC","DERATING / grouping check required","Screening only; confirm dimensions and apply 0.8W check below")</f>
        <v>Screening only; confirm dimensions and apply 0.8W check below</v>
      </c>
      <c r="O6" s="173" t="str">
        <f t="shared" ref="O6:O14" si="2">A6</f>
        <v>50 x 50 mm</v>
      </c>
      <c r="P6" s="174">
        <f t="shared" ref="P6:P14" si="3">B6</f>
        <v>50</v>
      </c>
      <c r="Q6" s="174">
        <f t="shared" ref="Q6:Q14" si="4">C6</f>
        <v>50</v>
      </c>
      <c r="R6" s="174">
        <f t="shared" ref="R6:R14" si="5">D6</f>
        <v>2500</v>
      </c>
      <c r="S6" s="179">
        <f>IFERROR($E6*PI()*'Vendor Register'!$E$4^2/4/$D6,"")</f>
        <v>0.19226547039969535</v>
      </c>
      <c r="T6" s="179">
        <f>IFERROR($F6*PI()*'Vendor Register'!$E$5^2/4/$D6,"")</f>
        <v>0.18472564803107985</v>
      </c>
      <c r="U6" s="179">
        <f>IFERROR($G6*PI()*'Vendor Register'!$E$6^2/4/$D6,"")</f>
        <v>0.19011662102463991</v>
      </c>
      <c r="V6" s="179">
        <f>IFERROR($H6*PI()*'Vendor Register'!$E$7^2/4/$D6,"")</f>
        <v>0.18103113507045829</v>
      </c>
      <c r="W6" s="160" t="str">
        <f t="shared" ref="W6:W14" si="6">I6</f>
        <v>&lt;=30 CCC SCREEN</v>
      </c>
      <c r="X6" s="162" t="str">
        <f t="shared" ref="X6:X14" si="7">J6</f>
        <v>Screening only; confirm dimensions and apply 0.8W check below</v>
      </c>
    </row>
    <row r="7" spans="1:24" ht="27.9" customHeight="1">
      <c r="A7" s="29" t="s">
        <v>581</v>
      </c>
      <c r="B7" s="101">
        <v>75</v>
      </c>
      <c r="C7" s="101">
        <v>75</v>
      </c>
      <c r="D7" s="130">
        <f t="shared" si="0"/>
        <v>5625</v>
      </c>
      <c r="E7" s="159">
        <f>IFERROR(INT(0.2*$D7/(PI()*'Vendor Register'!$E$4^2/4)),"")</f>
        <v>39</v>
      </c>
      <c r="F7" s="159">
        <f>IFERROR(INT(0.2*$D7/(PI()*'Vendor Register'!$E$5^2/4)),"")</f>
        <v>29</v>
      </c>
      <c r="G7" s="159">
        <f>IFERROR(INT(0.2*$D7/(PI()*'Vendor Register'!$E$6^2/4)),"")</f>
        <v>21</v>
      </c>
      <c r="H7" s="159">
        <f>IFERROR(INT(0.2*$D7/(PI()*'Vendor Register'!$E$7^2/4)),"")</f>
        <v>14</v>
      </c>
      <c r="I7" s="188" t="str">
        <f t="shared" ref="I7:I14" si="8">IF(MAX(E7:H7)&gt;30,"DERATING CHECK &gt;30 CCC","&lt;=30 CCC SCREEN")</f>
        <v>DERATING CHECK &gt;30 CCC</v>
      </c>
      <c r="J7" s="189" t="str">
        <f t="shared" si="1"/>
        <v>DERATING / grouping check required</v>
      </c>
      <c r="O7" s="173" t="str">
        <f t="shared" si="2"/>
        <v>75 x 75 mm</v>
      </c>
      <c r="P7" s="174">
        <f t="shared" si="3"/>
        <v>75</v>
      </c>
      <c r="Q7" s="174">
        <f t="shared" si="4"/>
        <v>75</v>
      </c>
      <c r="R7" s="174">
        <f t="shared" si="5"/>
        <v>5625</v>
      </c>
      <c r="S7" s="179">
        <f>IFERROR($E7*PI()*'Vendor Register'!$E$4^2/4/$D7,"")</f>
        <v>0.1960353815840031</v>
      </c>
      <c r="T7" s="179">
        <f>IFERROR($F7*PI()*'Vendor Register'!$E$5^2/4/$D7,"")</f>
        <v>0.19840902936671539</v>
      </c>
      <c r="U7" s="179">
        <f>IFERROR($G7*PI()*'Vendor Register'!$E$6^2/4/$D7,"")</f>
        <v>0.19715797735888582</v>
      </c>
      <c r="V7" s="179">
        <f>IFERROR($H7*PI()*'Vendor Register'!$E$7^2/4/$D7,"")</f>
        <v>0.18773599192491969</v>
      </c>
      <c r="W7" s="160" t="str">
        <f t="shared" si="6"/>
        <v>DERATING CHECK &gt;30 CCC</v>
      </c>
      <c r="X7" s="162" t="str">
        <f t="shared" si="7"/>
        <v>DERATING / grouping check required</v>
      </c>
    </row>
    <row r="8" spans="1:24" ht="27.9" customHeight="1">
      <c r="A8" s="29" t="s">
        <v>582</v>
      </c>
      <c r="B8" s="101">
        <v>100</v>
      </c>
      <c r="C8" s="101">
        <v>50</v>
      </c>
      <c r="D8" s="130">
        <f t="shared" si="0"/>
        <v>5000</v>
      </c>
      <c r="E8" s="159">
        <f>IFERROR(INT(0.2*$D8/(PI()*'Vendor Register'!$E$4^2/4)),"")</f>
        <v>35</v>
      </c>
      <c r="F8" s="159">
        <f>IFERROR(INT(0.2*$D8/(PI()*'Vendor Register'!$E$5^2/4)),"")</f>
        <v>25</v>
      </c>
      <c r="G8" s="159">
        <f>IFERROR(INT(0.2*$D8/(PI()*'Vendor Register'!$E$6^2/4)),"")</f>
        <v>18</v>
      </c>
      <c r="H8" s="159">
        <f>IFERROR(INT(0.2*$D8/(PI()*'Vendor Register'!$E$7^2/4)),"")</f>
        <v>13</v>
      </c>
      <c r="I8" s="188" t="str">
        <f t="shared" si="8"/>
        <v>DERATING CHECK &gt;30 CCC</v>
      </c>
      <c r="J8" s="189" t="str">
        <f t="shared" si="1"/>
        <v>DERATING / grouping check required</v>
      </c>
      <c r="O8" s="173" t="str">
        <f t="shared" si="2"/>
        <v>100 x 50 mm</v>
      </c>
      <c r="P8" s="174">
        <f t="shared" si="3"/>
        <v>100</v>
      </c>
      <c r="Q8" s="174">
        <f t="shared" si="4"/>
        <v>50</v>
      </c>
      <c r="R8" s="174">
        <f t="shared" si="5"/>
        <v>5000</v>
      </c>
      <c r="S8" s="179">
        <f>IFERROR($E8*PI()*'Vendor Register'!$E$4^2/4/$D8,"")</f>
        <v>0.19792033717615695</v>
      </c>
      <c r="T8" s="179">
        <f>IFERROR($F8*PI()*'Vendor Register'!$E$5^2/4/$D8,"")</f>
        <v>0.19242255003237482</v>
      </c>
      <c r="U8" s="179">
        <f>IFERROR($G8*PI()*'Vendor Register'!$E$6^2/4/$D8,"")</f>
        <v>0.19011662102463991</v>
      </c>
      <c r="V8" s="179">
        <f>IFERROR($H8*PI()*'Vendor Register'!$E$7^2/4/$D8,"")</f>
        <v>0.1961170629929965</v>
      </c>
      <c r="W8" s="160" t="str">
        <f t="shared" si="6"/>
        <v>DERATING CHECK &gt;30 CCC</v>
      </c>
      <c r="X8" s="162" t="str">
        <f t="shared" si="7"/>
        <v>DERATING / grouping check required</v>
      </c>
    </row>
    <row r="9" spans="1:24" ht="35.1" customHeight="1">
      <c r="A9" s="29" t="s">
        <v>583</v>
      </c>
      <c r="B9" s="101">
        <v>100</v>
      </c>
      <c r="C9" s="101">
        <v>100</v>
      </c>
      <c r="D9" s="130">
        <f t="shared" si="0"/>
        <v>10000</v>
      </c>
      <c r="E9" s="159">
        <f>IFERROR(INT(0.2*$D9/(PI()*'Vendor Register'!$E$4^2/4)),"")</f>
        <v>70</v>
      </c>
      <c r="F9" s="159">
        <f>IFERROR(INT(0.2*$D9/(PI()*'Vendor Register'!$E$5^2/4)),"")</f>
        <v>51</v>
      </c>
      <c r="G9" s="159">
        <f>IFERROR(INT(0.2*$D9/(PI()*'Vendor Register'!$E$6^2/4)),"")</f>
        <v>37</v>
      </c>
      <c r="H9" s="159">
        <f>IFERROR(INT(0.2*$D9/(PI()*'Vendor Register'!$E$7^2/4)),"")</f>
        <v>26</v>
      </c>
      <c r="I9" s="188" t="str">
        <f t="shared" si="8"/>
        <v>DERATING CHECK &gt;30 CCC</v>
      </c>
      <c r="J9" s="189" t="str">
        <f t="shared" si="1"/>
        <v>DERATING / grouping check required</v>
      </c>
      <c r="O9" s="173" t="str">
        <f t="shared" si="2"/>
        <v>100 x 100 mm</v>
      </c>
      <c r="P9" s="174">
        <f t="shared" si="3"/>
        <v>100</v>
      </c>
      <c r="Q9" s="174">
        <f t="shared" si="4"/>
        <v>100</v>
      </c>
      <c r="R9" s="174">
        <f t="shared" si="5"/>
        <v>10000</v>
      </c>
      <c r="S9" s="179">
        <f>IFERROR($E9*PI()*'Vendor Register'!$E$4^2/4/$D9,"")</f>
        <v>0.19792033717615695</v>
      </c>
      <c r="T9" s="179">
        <f>IFERROR($F9*PI()*'Vendor Register'!$E$5^2/4/$D9,"")</f>
        <v>0.19627100103302231</v>
      </c>
      <c r="U9" s="179">
        <f>IFERROR($G9*PI()*'Vendor Register'!$E$6^2/4/$D9,"")</f>
        <v>0.19539763827532436</v>
      </c>
      <c r="V9" s="179">
        <f>IFERROR($H9*PI()*'Vendor Register'!$E$7^2/4/$D9,"")</f>
        <v>0.1961170629929965</v>
      </c>
      <c r="W9" s="160" t="str">
        <f t="shared" si="6"/>
        <v>DERATING CHECK &gt;30 CCC</v>
      </c>
      <c r="X9" s="162" t="str">
        <f t="shared" si="7"/>
        <v>DERATING / grouping check required</v>
      </c>
    </row>
    <row r="10" spans="1:24" ht="27.9" customHeight="1">
      <c r="A10" s="29" t="s">
        <v>584</v>
      </c>
      <c r="B10" s="101">
        <v>150</v>
      </c>
      <c r="C10" s="101">
        <v>100</v>
      </c>
      <c r="D10" s="130">
        <f t="shared" si="0"/>
        <v>15000</v>
      </c>
      <c r="E10" s="159">
        <f>IFERROR(INT(0.2*$D10/(PI()*'Vendor Register'!$E$4^2/4)),"")</f>
        <v>106</v>
      </c>
      <c r="F10" s="159">
        <f>IFERROR(INT(0.2*$D10/(PI()*'Vendor Register'!$E$5^2/4)),"")</f>
        <v>77</v>
      </c>
      <c r="G10" s="159">
        <f>IFERROR(INT(0.2*$D10/(PI()*'Vendor Register'!$E$6^2/4)),"")</f>
        <v>56</v>
      </c>
      <c r="H10" s="159">
        <f>IFERROR(INT(0.2*$D10/(PI()*'Vendor Register'!$E$7^2/4)),"")</f>
        <v>39</v>
      </c>
      <c r="I10" s="188" t="str">
        <f t="shared" si="8"/>
        <v>DERATING CHECK &gt;30 CCC</v>
      </c>
      <c r="J10" s="189" t="str">
        <f t="shared" si="1"/>
        <v>DERATING / grouping check required</v>
      </c>
      <c r="O10" s="176" t="str">
        <f t="shared" si="2"/>
        <v>150 x 100 mm</v>
      </c>
      <c r="P10" s="174">
        <f t="shared" si="3"/>
        <v>150</v>
      </c>
      <c r="Q10" s="174">
        <f t="shared" si="4"/>
        <v>100</v>
      </c>
      <c r="R10" s="174">
        <f t="shared" si="5"/>
        <v>15000</v>
      </c>
      <c r="S10" s="179">
        <f>IFERROR($E10*PI()*'Vendor Register'!$E$4^2/4/$D10,"")</f>
        <v>0.19980529276831085</v>
      </c>
      <c r="T10" s="179">
        <f>IFERROR($F10*PI()*'Vendor Register'!$E$5^2/4/$D10,"")</f>
        <v>0.19755381803323815</v>
      </c>
      <c r="U10" s="179">
        <f>IFERROR($G10*PI()*'Vendor Register'!$E$6^2/4/$D10,"")</f>
        <v>0.19715797735888582</v>
      </c>
      <c r="V10" s="179">
        <f>IFERROR($H10*PI()*'Vendor Register'!$E$7^2/4/$D10,"")</f>
        <v>0.19611706299299647</v>
      </c>
      <c r="W10" s="160" t="str">
        <f t="shared" si="6"/>
        <v>DERATING CHECK &gt;30 CCC</v>
      </c>
      <c r="X10" s="162" t="str">
        <f t="shared" si="7"/>
        <v>DERATING / grouping check required</v>
      </c>
    </row>
    <row r="11" spans="1:24" ht="27.9" customHeight="1">
      <c r="A11" s="29" t="s">
        <v>585</v>
      </c>
      <c r="B11" s="101">
        <v>150</v>
      </c>
      <c r="C11" s="101">
        <v>150</v>
      </c>
      <c r="D11" s="130">
        <f t="shared" si="0"/>
        <v>22500</v>
      </c>
      <c r="E11" s="159">
        <f>IFERROR(INT(0.2*$D11/(PI()*'Vendor Register'!$E$4^2/4)),"")</f>
        <v>159</v>
      </c>
      <c r="F11" s="159">
        <f>IFERROR(INT(0.2*$D11/(PI()*'Vendor Register'!$E$5^2/4)),"")</f>
        <v>116</v>
      </c>
      <c r="G11" s="159">
        <f>IFERROR(INT(0.2*$D11/(PI()*'Vendor Register'!$E$6^2/4)),"")</f>
        <v>85</v>
      </c>
      <c r="H11" s="159">
        <f>IFERROR(INT(0.2*$D11/(PI()*'Vendor Register'!$E$7^2/4)),"")</f>
        <v>59</v>
      </c>
      <c r="I11" s="188" t="str">
        <f t="shared" si="8"/>
        <v>DERATING CHECK &gt;30 CCC</v>
      </c>
      <c r="J11" s="189" t="str">
        <f t="shared" si="1"/>
        <v>DERATING / grouping check required</v>
      </c>
      <c r="O11" s="176" t="str">
        <f t="shared" si="2"/>
        <v>150 x 150 mm</v>
      </c>
      <c r="P11" s="174">
        <f t="shared" si="3"/>
        <v>150</v>
      </c>
      <c r="Q11" s="174">
        <f t="shared" si="4"/>
        <v>150</v>
      </c>
      <c r="R11" s="174">
        <f t="shared" si="5"/>
        <v>22500</v>
      </c>
      <c r="S11" s="179">
        <f>IFERROR($E11*PI()*'Vendor Register'!$E$4^2/4/$D11,"")</f>
        <v>0.19980529276831083</v>
      </c>
      <c r="T11" s="179">
        <f>IFERROR($F11*PI()*'Vendor Register'!$E$5^2/4/$D11,"")</f>
        <v>0.19840902936671539</v>
      </c>
      <c r="U11" s="179">
        <f>IFERROR($G11*PI()*'Vendor Register'!$E$6^2/4/$D11,"")</f>
        <v>0.19950509613696782</v>
      </c>
      <c r="V11" s="179">
        <f>IFERROR($H11*PI()*'Vendor Register'!$E$7^2/4/$D11,"")</f>
        <v>0.19779327720661183</v>
      </c>
      <c r="W11" s="160" t="str">
        <f t="shared" si="6"/>
        <v>DERATING CHECK &gt;30 CCC</v>
      </c>
      <c r="X11" s="162" t="str">
        <f t="shared" si="7"/>
        <v>DERATING / grouping check required</v>
      </c>
    </row>
    <row r="12" spans="1:24" ht="27.9" customHeight="1">
      <c r="A12" s="29" t="s">
        <v>586</v>
      </c>
      <c r="B12" s="101">
        <v>200</v>
      </c>
      <c r="C12" s="101">
        <v>100</v>
      </c>
      <c r="D12" s="130">
        <f t="shared" si="0"/>
        <v>20000</v>
      </c>
      <c r="E12" s="159">
        <f>IFERROR(INT(0.2*$D12/(PI()*'Vendor Register'!$E$4^2/4)),"")</f>
        <v>141</v>
      </c>
      <c r="F12" s="159">
        <f>IFERROR(INT(0.2*$D12/(PI()*'Vendor Register'!$E$5^2/4)),"")</f>
        <v>103</v>
      </c>
      <c r="G12" s="159">
        <f>IFERROR(INT(0.2*$D12/(PI()*'Vendor Register'!$E$6^2/4)),"")</f>
        <v>75</v>
      </c>
      <c r="H12" s="159">
        <f>IFERROR(INT(0.2*$D12/(PI()*'Vendor Register'!$E$7^2/4)),"")</f>
        <v>53</v>
      </c>
      <c r="I12" s="188" t="str">
        <f t="shared" si="8"/>
        <v>DERATING CHECK &gt;30 CCC</v>
      </c>
      <c r="J12" s="189" t="str">
        <f t="shared" si="1"/>
        <v>DERATING / grouping check required</v>
      </c>
      <c r="O12" s="176" t="str">
        <f t="shared" si="2"/>
        <v>200 x 100 mm</v>
      </c>
      <c r="P12" s="174">
        <f t="shared" si="3"/>
        <v>200</v>
      </c>
      <c r="Q12" s="174">
        <f t="shared" si="4"/>
        <v>100</v>
      </c>
      <c r="R12" s="174">
        <f t="shared" si="5"/>
        <v>20000</v>
      </c>
      <c r="S12" s="179">
        <f>IFERROR($E12*PI()*'Vendor Register'!$E$4^2/4/$D12,"")</f>
        <v>0.19933405387027237</v>
      </c>
      <c r="T12" s="179">
        <f>IFERROR($F12*PI()*'Vendor Register'!$E$5^2/4/$D12,"")</f>
        <v>0.19819522653334606</v>
      </c>
      <c r="U12" s="179">
        <f>IFERROR($G12*PI()*'Vendor Register'!$E$6^2/4/$D12,"")</f>
        <v>0.19803814690066657</v>
      </c>
      <c r="V12" s="179">
        <f>IFERROR($H12*PI()*'Vendor Register'!$E$7^2/4/$D12,"")</f>
        <v>0.19988854497363101</v>
      </c>
      <c r="W12" s="160" t="str">
        <f t="shared" si="6"/>
        <v>DERATING CHECK &gt;30 CCC</v>
      </c>
      <c r="X12" s="162" t="str">
        <f t="shared" si="7"/>
        <v>DERATING / grouping check required</v>
      </c>
    </row>
    <row r="13" spans="1:24" ht="27.9" customHeight="1">
      <c r="A13" s="29" t="s">
        <v>587</v>
      </c>
      <c r="B13" s="101">
        <v>200</v>
      </c>
      <c r="C13" s="101">
        <v>150</v>
      </c>
      <c r="D13" s="130">
        <f t="shared" si="0"/>
        <v>30000</v>
      </c>
      <c r="E13" s="159">
        <f>IFERROR(INT(0.2*$D13/(PI()*'Vendor Register'!$E$4^2/4)),"")</f>
        <v>212</v>
      </c>
      <c r="F13" s="159">
        <f>IFERROR(INT(0.2*$D13/(PI()*'Vendor Register'!$E$5^2/4)),"")</f>
        <v>155</v>
      </c>
      <c r="G13" s="159">
        <f>IFERROR(INT(0.2*$D13/(PI()*'Vendor Register'!$E$6^2/4)),"")</f>
        <v>113</v>
      </c>
      <c r="H13" s="159">
        <f>IFERROR(INT(0.2*$D13/(PI()*'Vendor Register'!$E$7^2/4)),"")</f>
        <v>79</v>
      </c>
      <c r="I13" s="188" t="str">
        <f t="shared" si="8"/>
        <v>DERATING CHECK &gt;30 CCC</v>
      </c>
      <c r="J13" s="189" t="str">
        <f t="shared" si="1"/>
        <v>DERATING / grouping check required</v>
      </c>
      <c r="O13" s="176" t="str">
        <f t="shared" si="2"/>
        <v>200 x 150 mm</v>
      </c>
      <c r="P13" s="174">
        <f t="shared" si="3"/>
        <v>200</v>
      </c>
      <c r="Q13" s="174">
        <f t="shared" si="4"/>
        <v>150</v>
      </c>
      <c r="R13" s="174">
        <f t="shared" si="5"/>
        <v>30000</v>
      </c>
      <c r="S13" s="179">
        <f>IFERROR($E13*PI()*'Vendor Register'!$E$4^2/4/$D13,"")</f>
        <v>0.19980529276831085</v>
      </c>
      <c r="T13" s="179">
        <f>IFERROR($F13*PI()*'Vendor Register'!$E$5^2/4/$D13,"")</f>
        <v>0.198836635033454</v>
      </c>
      <c r="U13" s="179">
        <f>IFERROR($G13*PI()*'Vendor Register'!$E$6^2/4/$D13,"")</f>
        <v>0.19891831644244731</v>
      </c>
      <c r="V13" s="179">
        <f>IFERROR($H13*PI()*'Vendor Register'!$E$7^2/4/$D13,"")</f>
        <v>0.19863138431341951</v>
      </c>
      <c r="W13" s="160" t="str">
        <f t="shared" si="6"/>
        <v>DERATING CHECK &gt;30 CCC</v>
      </c>
      <c r="X13" s="162" t="str">
        <f t="shared" si="7"/>
        <v>DERATING / grouping check required</v>
      </c>
    </row>
    <row r="14" spans="1:24" ht="27.9" customHeight="1">
      <c r="A14" s="29" t="s">
        <v>588</v>
      </c>
      <c r="B14" s="101">
        <v>200</v>
      </c>
      <c r="C14" s="101">
        <v>200</v>
      </c>
      <c r="D14" s="130">
        <f t="shared" si="0"/>
        <v>40000</v>
      </c>
      <c r="E14" s="159">
        <f>IFERROR(INT(0.2*$D14/(PI()*'Vendor Register'!$E$4^2/4)),"")</f>
        <v>282</v>
      </c>
      <c r="F14" s="159">
        <f>IFERROR(INT(0.2*$D14/(PI()*'Vendor Register'!$E$5^2/4)),"")</f>
        <v>207</v>
      </c>
      <c r="G14" s="159">
        <f>IFERROR(INT(0.2*$D14/(PI()*'Vendor Register'!$E$6^2/4)),"")</f>
        <v>151</v>
      </c>
      <c r="H14" s="159">
        <f>IFERROR(INT(0.2*$D14/(PI()*'Vendor Register'!$E$7^2/4)),"")</f>
        <v>106</v>
      </c>
      <c r="I14" s="188" t="str">
        <f t="shared" si="8"/>
        <v>DERATING CHECK &gt;30 CCC</v>
      </c>
      <c r="J14" s="189" t="str">
        <f t="shared" si="1"/>
        <v>DERATING / grouping check required</v>
      </c>
      <c r="O14" s="176" t="str">
        <f t="shared" si="2"/>
        <v>200 x 200 mm</v>
      </c>
      <c r="P14" s="174">
        <f t="shared" si="3"/>
        <v>200</v>
      </c>
      <c r="Q14" s="174">
        <f t="shared" si="4"/>
        <v>200</v>
      </c>
      <c r="R14" s="174">
        <f t="shared" si="5"/>
        <v>40000</v>
      </c>
      <c r="S14" s="179">
        <f>IFERROR($E14*PI()*'Vendor Register'!$E$4^2/4/$D14,"")</f>
        <v>0.19933405387027237</v>
      </c>
      <c r="T14" s="179">
        <f>IFERROR($F14*PI()*'Vendor Register'!$E$5^2/4/$D14,"")</f>
        <v>0.19915733928350793</v>
      </c>
      <c r="U14" s="179">
        <f>IFERROR($G14*PI()*'Vendor Register'!$E$6^2/4/$D14,"")</f>
        <v>0.19935840121333767</v>
      </c>
      <c r="V14" s="179">
        <f>IFERROR($H14*PI()*'Vendor Register'!$E$7^2/4/$D14,"")</f>
        <v>0.19988854497363101</v>
      </c>
      <c r="W14" s="160" t="str">
        <f t="shared" si="6"/>
        <v>DERATING CHECK &gt;30 CCC</v>
      </c>
      <c r="X14" s="162" t="str">
        <f t="shared" si="7"/>
        <v>DERATING / grouping check required</v>
      </c>
    </row>
    <row r="16" spans="1:24" ht="15.6">
      <c r="A16" s="177" t="s">
        <v>589</v>
      </c>
    </row>
    <row r="17" spans="1:13">
      <c r="A17" s="202" t="s">
        <v>590</v>
      </c>
      <c r="B17" s="202"/>
      <c r="C17" s="202"/>
      <c r="D17" s="202"/>
      <c r="E17" s="202"/>
      <c r="F17" s="202"/>
      <c r="G17" s="202"/>
      <c r="H17" s="202"/>
      <c r="I17" s="202"/>
      <c r="J17" s="202"/>
      <c r="K17" s="202"/>
      <c r="L17" s="202"/>
    </row>
    <row r="18" spans="1:13" ht="14.25" customHeight="1">
      <c r="A18" s="229" t="s">
        <v>591</v>
      </c>
      <c r="B18" s="230"/>
      <c r="C18" s="230"/>
      <c r="D18" s="230"/>
      <c r="E18" s="230"/>
      <c r="F18" s="230"/>
      <c r="G18" s="230"/>
      <c r="H18" s="230"/>
      <c r="I18" s="230"/>
      <c r="J18" s="230"/>
      <c r="K18" s="230"/>
      <c r="L18" s="231"/>
      <c r="M18" s="2"/>
    </row>
    <row r="19" spans="1:13" ht="35.1" customHeight="1">
      <c r="A19" s="17" t="s">
        <v>592</v>
      </c>
      <c r="B19" s="17" t="s">
        <v>572</v>
      </c>
      <c r="C19" s="17" t="s">
        <v>573</v>
      </c>
      <c r="D19" s="17" t="s">
        <v>593</v>
      </c>
      <c r="E19" s="17" t="s">
        <v>557</v>
      </c>
      <c r="F19" s="17" t="s">
        <v>594</v>
      </c>
      <c r="G19" s="106" t="s">
        <v>522</v>
      </c>
      <c r="H19" s="106" t="s">
        <v>523</v>
      </c>
      <c r="I19" s="106" t="s">
        <v>524</v>
      </c>
      <c r="J19" s="107" t="s">
        <v>595</v>
      </c>
      <c r="K19" s="107" t="s">
        <v>596</v>
      </c>
      <c r="L19" s="17" t="s">
        <v>597</v>
      </c>
      <c r="M19" s="17" t="s">
        <v>578</v>
      </c>
    </row>
    <row r="20" spans="1:13">
      <c r="A20" s="29" t="s">
        <v>598</v>
      </c>
      <c r="B20" s="56">
        <v>300</v>
      </c>
      <c r="C20" s="56">
        <v>100</v>
      </c>
      <c r="D20" s="29">
        <v>6</v>
      </c>
      <c r="E20" s="131">
        <f>IF(D20=4,'Vendor Register'!$E$4,IF(D20=6,'Vendor Register'!$E$5,IF(D20=10,'Vendor Register'!$E$6,IF(D20=16,'Vendor Register'!$E$7,""))))</f>
        <v>7</v>
      </c>
      <c r="F20" s="102">
        <v>50</v>
      </c>
      <c r="G20" s="132">
        <f>IF(OR(E20="",F20=""),"",E20*F20)</f>
        <v>350</v>
      </c>
      <c r="H20" s="132">
        <f>IF(B20="","",0.8*B20)</f>
        <v>240</v>
      </c>
      <c r="I20" s="150">
        <f>IFERROR(G20/B20,"")</f>
        <v>1.1666666666666667</v>
      </c>
      <c r="J20" s="105">
        <f>IFERROR(F20*PI()*E20^2/4/(B20*C20),"")</f>
        <v>6.4140850010791603E-2</v>
      </c>
      <c r="K20" s="133" t="str">
        <f>IF(J20="","",IF(J20&lt;=0.2,"PASS","FAIL"))</f>
        <v>PASS</v>
      </c>
      <c r="L20" s="133" t="str">
        <f>IF(AND(I20&lt;=0.8,J20&lt;=0.2),"PASS","CHECK")</f>
        <v>CHECK</v>
      </c>
      <c r="M20" s="160" t="str">
        <f>IF(F20&gt;30,"DERATING CHECK &gt;30 CCC","&lt;=30 CCC SCREEN")</f>
        <v>DERATING CHECK &gt;30 CCC</v>
      </c>
    </row>
    <row r="21" spans="1:13">
      <c r="A21" s="29" t="s">
        <v>599</v>
      </c>
      <c r="B21" s="56">
        <v>300</v>
      </c>
      <c r="C21" s="56">
        <v>100</v>
      </c>
      <c r="D21" s="29">
        <v>6</v>
      </c>
      <c r="E21" s="131">
        <f>IF(D21=4,'Vendor Register'!$E$4,IF(D21=6,'Vendor Register'!$E$5,IF(D21=10,'Vendor Register'!$E$6,IF(D21=16,'Vendor Register'!$E$7,""))))</f>
        <v>7</v>
      </c>
      <c r="F21" s="102">
        <v>100</v>
      </c>
      <c r="G21" s="132">
        <f>IF(OR(E21="",F21=""),"",E21*F21)</f>
        <v>700</v>
      </c>
      <c r="H21" s="132">
        <f>IF(B21="","",0.8*B21)</f>
        <v>240</v>
      </c>
      <c r="I21" s="150">
        <f>IFERROR(G21/B21,"")</f>
        <v>2.3333333333333335</v>
      </c>
      <c r="J21" s="105">
        <f>IFERROR(F21*PI()*E21^2/4/(B21*C21),"")</f>
        <v>0.12828170002158321</v>
      </c>
      <c r="K21" s="133" t="str">
        <f>IF(J21="","",IF(J21&lt;=0.2,"PASS","FAIL"))</f>
        <v>PASS</v>
      </c>
      <c r="L21" s="133" t="str">
        <f>IF(AND(I21&lt;=0.8,J21&lt;=0.2),"PASS","CHECK")</f>
        <v>CHECK</v>
      </c>
      <c r="M21" s="160" t="str">
        <f t="shared" ref="M21:M23" si="9">IF(F21&gt;30,"DERATING CHECK &gt;30 CCC","&lt;=30 CCC SCREEN")</f>
        <v>DERATING CHECK &gt;30 CCC</v>
      </c>
    </row>
    <row r="22" spans="1:13">
      <c r="A22" s="29" t="s">
        <v>600</v>
      </c>
      <c r="B22" s="56">
        <v>600</v>
      </c>
      <c r="C22" s="56">
        <v>100</v>
      </c>
      <c r="D22" s="29">
        <v>6</v>
      </c>
      <c r="E22" s="131">
        <f>IF(D22=4,'Vendor Register'!$E$4,IF(D22=6,'Vendor Register'!$E$5,IF(D22=10,'Vendor Register'!$E$6,IF(D22=16,'Vendor Register'!$E$7,""))))</f>
        <v>7</v>
      </c>
      <c r="F22" s="102">
        <v>130</v>
      </c>
      <c r="G22" s="132">
        <f>IF(OR(E22="",F22=""),"",E22*F22)</f>
        <v>910</v>
      </c>
      <c r="H22" s="132">
        <f>IF(B22="","",0.8*B22)</f>
        <v>480</v>
      </c>
      <c r="I22" s="150">
        <f>IFERROR(G22/B22,"")</f>
        <v>1.5166666666666666</v>
      </c>
      <c r="J22" s="105">
        <f>IFERROR(F22*PI()*E22^2/4/(B22*C22),"")</f>
        <v>8.3383105014029082E-2</v>
      </c>
      <c r="K22" s="133" t="str">
        <f>IF(J22="","",IF(J22&lt;=0.2,"PASS","FAIL"))</f>
        <v>PASS</v>
      </c>
      <c r="L22" s="133" t="str">
        <f>IF(AND(I22&lt;=0.8,J22&lt;=0.2),"PASS","CHECK")</f>
        <v>CHECK</v>
      </c>
      <c r="M22" s="160" t="str">
        <f t="shared" si="9"/>
        <v>DERATING CHECK &gt;30 CCC</v>
      </c>
    </row>
    <row r="23" spans="1:13">
      <c r="A23" s="29" t="s">
        <v>601</v>
      </c>
      <c r="B23" s="56">
        <v>100</v>
      </c>
      <c r="C23" s="56">
        <v>100</v>
      </c>
      <c r="D23" s="29">
        <v>16</v>
      </c>
      <c r="E23" s="131">
        <f>IF(D23=4,'Vendor Register'!$E$4,IF(D23=6,'Vendor Register'!$E$5,IF(D23=10,'Vendor Register'!$E$6,IF(D23=16,'Vendor Register'!$E$7,""))))</f>
        <v>9.8000000000000007</v>
      </c>
      <c r="F23" s="102">
        <v>6</v>
      </c>
      <c r="G23" s="132">
        <f>IF(OR(E23="",F23=""),"",E23*F23)</f>
        <v>58.800000000000004</v>
      </c>
      <c r="H23" s="132">
        <f>IF(B23="","",0.8*B23)</f>
        <v>80</v>
      </c>
      <c r="I23" s="150">
        <f>IFERROR(G23/B23,"")</f>
        <v>0.58800000000000008</v>
      </c>
      <c r="J23" s="105">
        <f>IFERROR(F23*PI()*E23^2/4/(B23*C23),"")</f>
        <v>4.5257783767614572E-2</v>
      </c>
      <c r="K23" s="133" t="str">
        <f>IF(J23="","",IF(J23&lt;=0.2,"PASS","FAIL"))</f>
        <v>PASS</v>
      </c>
      <c r="L23" s="133" t="str">
        <f>IF(AND(I23&lt;=0.8,J23&lt;=0.2),"PASS","CHECK")</f>
        <v>PASS</v>
      </c>
      <c r="M23" s="160" t="str">
        <f t="shared" si="9"/>
        <v>&lt;=30 CCC SCREEN</v>
      </c>
    </row>
    <row r="24" spans="1:13">
      <c r="A24" s="29" t="s">
        <v>602</v>
      </c>
      <c r="B24" s="56">
        <v>150</v>
      </c>
      <c r="C24" s="56">
        <v>100</v>
      </c>
      <c r="D24" s="29">
        <v>16</v>
      </c>
      <c r="E24" s="131">
        <f>IF(D24=4,'Vendor Register'!$E$4,IF(D24=6,'Vendor Register'!$E$5,IF(D24=10,'Vendor Register'!$E$6,IF(D24=16,'Vendor Register'!$E$7,""))))</f>
        <v>9.8000000000000007</v>
      </c>
      <c r="F24" s="102">
        <v>50</v>
      </c>
      <c r="G24" s="132">
        <f>IF(OR(E24="",F24=""),"",E24*F24)</f>
        <v>490.00000000000006</v>
      </c>
      <c r="H24" s="132">
        <f>IF(B24="","",0.8*B24)</f>
        <v>120</v>
      </c>
      <c r="I24" s="150">
        <f>IFERROR(G24/B24,"")</f>
        <v>3.2666666666666671</v>
      </c>
      <c r="J24" s="105">
        <f>IFERROR(F24*PI()*E24^2/4/(B24*C24),"")</f>
        <v>0.25143213204230319</v>
      </c>
      <c r="K24" s="133" t="str">
        <f>IF(J24="","",IF(J24&lt;=0.2,"PASS","FAIL"))</f>
        <v>FAIL</v>
      </c>
      <c r="L24" s="133" t="str">
        <f>IF(AND(I24&lt;=0.8,J24&lt;=0.2),"PASS","CHECK")</f>
        <v>CHECK</v>
      </c>
      <c r="M24" s="160" t="str">
        <f>IF(F24&gt;30,"DERATING CHECK &gt;30 CCC","&lt;=30 CCC SCREEN")</f>
        <v>DERATING CHECK &gt;30 CCC</v>
      </c>
    </row>
    <row r="26" spans="1:13" ht="15.6">
      <c r="A26" s="177" t="s">
        <v>482</v>
      </c>
    </row>
    <row r="27" spans="1:13">
      <c r="A27" s="202" t="s">
        <v>603</v>
      </c>
      <c r="B27" s="202" t="s">
        <v>603</v>
      </c>
      <c r="C27" s="202" t="s">
        <v>603</v>
      </c>
      <c r="D27" s="202" t="s">
        <v>603</v>
      </c>
      <c r="E27" s="202" t="s">
        <v>603</v>
      </c>
      <c r="F27" s="202" t="s">
        <v>603</v>
      </c>
      <c r="G27" s="202" t="s">
        <v>603</v>
      </c>
      <c r="H27" s="202" t="s">
        <v>603</v>
      </c>
      <c r="I27" s="202" t="s">
        <v>603</v>
      </c>
      <c r="J27" s="202" t="s">
        <v>603</v>
      </c>
    </row>
    <row r="28" spans="1:13" ht="33" customHeight="1">
      <c r="A28" s="219" t="s">
        <v>604</v>
      </c>
      <c r="B28" s="219" t="s">
        <v>604</v>
      </c>
      <c r="C28" s="219" t="s">
        <v>604</v>
      </c>
      <c r="D28" s="219" t="s">
        <v>604</v>
      </c>
      <c r="E28" s="219" t="s">
        <v>604</v>
      </c>
      <c r="F28" s="219" t="s">
        <v>604</v>
      </c>
      <c r="G28" s="219" t="s">
        <v>604</v>
      </c>
      <c r="H28" s="219" t="s">
        <v>604</v>
      </c>
      <c r="I28" s="219" t="s">
        <v>604</v>
      </c>
      <c r="J28" s="219" t="s">
        <v>604</v>
      </c>
    </row>
    <row r="29" spans="1:13">
      <c r="A29" s="17" t="s">
        <v>605</v>
      </c>
      <c r="B29" s="17" t="s">
        <v>306</v>
      </c>
    </row>
    <row r="30" spans="1:13">
      <c r="A30" s="15" t="s">
        <v>606</v>
      </c>
      <c r="B30" s="100">
        <v>300</v>
      </c>
    </row>
    <row r="31" spans="1:13">
      <c r="A31" s="15" t="s">
        <v>607</v>
      </c>
      <c r="B31" s="100">
        <v>100</v>
      </c>
    </row>
    <row r="32" spans="1:13">
      <c r="A32" s="15" t="s">
        <v>608</v>
      </c>
      <c r="B32" s="103">
        <v>0.2</v>
      </c>
    </row>
    <row r="33" spans="1:13">
      <c r="A33" s="15" t="s">
        <v>609</v>
      </c>
      <c r="B33" s="103">
        <v>0.8</v>
      </c>
      <c r="C33" s="108" t="s">
        <v>520</v>
      </c>
    </row>
    <row r="34" spans="1:13" ht="26.4">
      <c r="A34" s="18" t="s">
        <v>173</v>
      </c>
      <c r="B34" s="18" t="s">
        <v>176</v>
      </c>
      <c r="C34" s="18" t="s">
        <v>557</v>
      </c>
      <c r="D34" s="18" t="s">
        <v>463</v>
      </c>
      <c r="E34" s="18" t="s">
        <v>610</v>
      </c>
      <c r="F34" s="18" t="s">
        <v>611</v>
      </c>
      <c r="G34" s="18" t="s">
        <v>612</v>
      </c>
      <c r="H34" s="18" t="s">
        <v>613</v>
      </c>
      <c r="I34" s="17" t="s">
        <v>578</v>
      </c>
      <c r="J34" s="18" t="s">
        <v>614</v>
      </c>
      <c r="K34" s="18" t="s">
        <v>595</v>
      </c>
      <c r="L34" s="18" t="s">
        <v>615</v>
      </c>
      <c r="M34" s="18" t="s">
        <v>616</v>
      </c>
    </row>
    <row r="35" spans="1:13" ht="34.200000000000003">
      <c r="A35" s="50" t="s">
        <v>180</v>
      </c>
      <c r="B35" s="50">
        <v>4</v>
      </c>
      <c r="C35" s="42">
        <f>'Vendor Register'!$E$4</f>
        <v>6</v>
      </c>
      <c r="D35" s="32">
        <f>PI()*C35^2/4</f>
        <v>28.274333882308138</v>
      </c>
      <c r="E35" s="125">
        <f>INT($B$32*$B$30*$B$31/D35)</f>
        <v>212</v>
      </c>
      <c r="F35" s="125">
        <f>INT(tblWirewayLinkedView[[#This Row],[Max qty @20% area]]/2)</f>
        <v>106</v>
      </c>
      <c r="G35" s="124">
        <f>INT($B$33*$B$30/C35)</f>
        <v>40</v>
      </c>
      <c r="H35" s="124">
        <f>INT(tblWirewayLinkedView[[#This Row],[Max qty @0.8W]]/2)</f>
        <v>20</v>
      </c>
      <c r="I35" s="126" t="str">
        <f t="shared" ref="I35:I38" si="10">IF(MAX(G35)&gt;30,"DERATING CHECK &gt;30 CCC","&lt;=30 CCC SCREEN")</f>
        <v>DERATING CHECK &gt;30 CCC</v>
      </c>
      <c r="J35" s="102">
        <v>10</v>
      </c>
      <c r="K35" s="38">
        <f>IFERROR(J35*D35/($B$30*$B$31),"")</f>
        <v>9.4247779607693795E-3</v>
      </c>
      <c r="L35" s="127">
        <f>IFERROR(J35*C35/$B$30,"")</f>
        <v>0.2</v>
      </c>
      <c r="M35" s="95" t="str">
        <f>IF(AND(K35&lt;=$B$32,L35&lt;=$B$33),"PASS","CHECK")</f>
        <v>PASS</v>
      </c>
    </row>
    <row r="36" spans="1:13" ht="34.200000000000003">
      <c r="A36" s="50" t="s">
        <v>185</v>
      </c>
      <c r="B36" s="50">
        <v>6</v>
      </c>
      <c r="C36" s="42">
        <f>'Vendor Register'!$E$5</f>
        <v>7</v>
      </c>
      <c r="D36" s="32">
        <f>PI()*C36^2/4</f>
        <v>38.484510006474963</v>
      </c>
      <c r="E36" s="125">
        <f>INT($B$32*$B$30*$B$31/D36)</f>
        <v>155</v>
      </c>
      <c r="F36" s="125">
        <f>INT(tblWirewayLinkedView[[#This Row],[Max qty @20% area]]/2)</f>
        <v>77</v>
      </c>
      <c r="G36" s="124">
        <f>INT($B$33*$B$30/C36)</f>
        <v>34</v>
      </c>
      <c r="H36" s="124">
        <f>INT(tblWirewayLinkedView[[#This Row],[Max qty @0.8W]]/2)</f>
        <v>17</v>
      </c>
      <c r="I36" s="126" t="str">
        <f t="shared" si="10"/>
        <v>DERATING CHECK &gt;30 CCC</v>
      </c>
      <c r="J36" s="102">
        <v>4</v>
      </c>
      <c r="K36" s="38">
        <f>IFERROR(J36*D36/($B$30*$B$31),"")</f>
        <v>5.1312680008633281E-3</v>
      </c>
      <c r="L36" s="127">
        <f>IFERROR(J36*C36/$B$30,"")</f>
        <v>9.3333333333333338E-2</v>
      </c>
      <c r="M36" s="95" t="str">
        <f>IF(AND(K36&lt;=$B$32,L36&lt;=$B$33),"PASS","CHECK")</f>
        <v>PASS</v>
      </c>
    </row>
    <row r="37" spans="1:13" ht="22.8">
      <c r="A37" s="50" t="s">
        <v>186</v>
      </c>
      <c r="B37" s="50">
        <v>10</v>
      </c>
      <c r="C37" s="42">
        <f>'Vendor Register'!$E$6</f>
        <v>8.1999999999999993</v>
      </c>
      <c r="D37" s="32">
        <f>PI()*C37^2/4</f>
        <v>52.810172506844417</v>
      </c>
      <c r="E37" s="125">
        <f>INT($B$32*$B$30*$B$31/D37)</f>
        <v>113</v>
      </c>
      <c r="F37" s="125">
        <f>INT(tblWirewayLinkedView[[#This Row],[Max qty @20% area]]/2)</f>
        <v>56</v>
      </c>
      <c r="G37" s="124">
        <f>INT($B$33*$B$30/C37)</f>
        <v>29</v>
      </c>
      <c r="H37" s="124">
        <f>INT(tblWirewayLinkedView[[#This Row],[Max qty @0.8W]]/2)</f>
        <v>14</v>
      </c>
      <c r="I37" s="126" t="str">
        <f t="shared" si="10"/>
        <v>&lt;=30 CCC SCREEN</v>
      </c>
      <c r="J37" s="102">
        <v>4</v>
      </c>
      <c r="K37" s="38">
        <f>IFERROR(J37*D37/($B$30*$B$31),"")</f>
        <v>7.0413563342459221E-3</v>
      </c>
      <c r="L37" s="127">
        <f>IFERROR(J37*C37/$B$30,"")</f>
        <v>0.10933333333333332</v>
      </c>
      <c r="M37" s="95" t="str">
        <f>IF(AND(K37&lt;=$B$32,L37&lt;=$B$33),"PASS","CHECK")</f>
        <v>PASS</v>
      </c>
    </row>
    <row r="38" spans="1:13" ht="22.8">
      <c r="A38" s="50" t="s">
        <v>187</v>
      </c>
      <c r="B38" s="50">
        <v>16</v>
      </c>
      <c r="C38" s="42">
        <f>'Vendor Register'!$E$7</f>
        <v>9.8000000000000007</v>
      </c>
      <c r="D38" s="32">
        <f>PI()*C38^2/4</f>
        <v>75.429639612690949</v>
      </c>
      <c r="E38" s="125">
        <f>INT($B$32*$B$30*$B$31/D38)</f>
        <v>79</v>
      </c>
      <c r="F38" s="125">
        <f>INT(tblWirewayLinkedView[[#This Row],[Max qty @20% area]]/2)</f>
        <v>39</v>
      </c>
      <c r="G38" s="124">
        <f>INT($B$33*$B$30/C38)</f>
        <v>24</v>
      </c>
      <c r="H38" s="124">
        <f>INT(tblWirewayLinkedView[[#This Row],[Max qty @0.8W]]/2)</f>
        <v>12</v>
      </c>
      <c r="I38" s="126" t="str">
        <f t="shared" si="10"/>
        <v>&lt;=30 CCC SCREEN</v>
      </c>
      <c r="J38" s="102">
        <v>2</v>
      </c>
      <c r="K38" s="38">
        <f>IFERROR(J38*D38/($B$30*$B$31),"")</f>
        <v>5.0286426408460635E-3</v>
      </c>
      <c r="L38" s="127">
        <f>IFERROR(J38*C38/$B$30,"")</f>
        <v>6.533333333333334E-2</v>
      </c>
      <c r="M38" s="95" t="str">
        <f>IF(AND(K38&lt;=$B$32,L38&lt;=$B$33),"PASS","CHECK")</f>
        <v>PASS</v>
      </c>
    </row>
    <row r="39" spans="1:13">
      <c r="A39" s="208" t="s">
        <v>720</v>
      </c>
      <c r="B39" s="208"/>
      <c r="C39" s="208"/>
      <c r="D39" s="208"/>
      <c r="E39" s="208"/>
      <c r="F39" s="208"/>
      <c r="G39" s="208"/>
      <c r="H39" s="208"/>
      <c r="I39" s="208"/>
      <c r="J39" s="208"/>
      <c r="K39" s="208"/>
      <c r="L39" s="208"/>
      <c r="M39" s="208"/>
    </row>
    <row r="40" spans="1:13">
      <c r="A40" s="227" t="s">
        <v>721</v>
      </c>
      <c r="B40" s="227"/>
      <c r="C40" s="227"/>
      <c r="D40" s="227"/>
      <c r="E40" s="227"/>
      <c r="F40" s="227"/>
      <c r="G40" s="227"/>
      <c r="H40" s="227"/>
      <c r="I40" s="227"/>
      <c r="J40" s="227"/>
      <c r="K40" s="227"/>
      <c r="L40" s="227"/>
      <c r="M40" s="227"/>
    </row>
    <row r="41" spans="1:13" ht="35.1" customHeight="1">
      <c r="A41" s="161" t="s">
        <v>713</v>
      </c>
      <c r="B41" s="161" t="s">
        <v>572</v>
      </c>
      <c r="C41" s="161" t="s">
        <v>573</v>
      </c>
      <c r="D41" s="161" t="s">
        <v>722</v>
      </c>
      <c r="E41" s="161" t="s">
        <v>701</v>
      </c>
      <c r="F41" s="161" t="s">
        <v>523</v>
      </c>
      <c r="G41" s="161" t="s">
        <v>723</v>
      </c>
      <c r="H41" s="161" t="s">
        <v>464</v>
      </c>
      <c r="I41" s="161" t="s">
        <v>595</v>
      </c>
      <c r="J41" s="161" t="s">
        <v>724</v>
      </c>
      <c r="K41" s="161" t="s">
        <v>596</v>
      </c>
      <c r="L41" s="161" t="s">
        <v>597</v>
      </c>
      <c r="M41" s="161" t="s">
        <v>491</v>
      </c>
    </row>
    <row r="42" spans="1:13" ht="15">
      <c r="A42" s="176" t="str">
        <f t="shared" ref="A42:C50" si="11">A6</f>
        <v>50 x 50 mm</v>
      </c>
      <c r="B42" s="176">
        <f t="shared" si="11"/>
        <v>50</v>
      </c>
      <c r="C42" s="176">
        <f t="shared" si="11"/>
        <v>50</v>
      </c>
      <c r="D42" s="165">
        <f t="shared" ref="D42:D50" si="12">SUM($J$35:$J$38)</f>
        <v>20</v>
      </c>
      <c r="E42" s="165">
        <f>$C$35*$J$35+$C$36*$J$36+$C$37*$J$37+$C$38*$J$38</f>
        <v>140.4</v>
      </c>
      <c r="F42" s="165">
        <f>$B$33*B42</f>
        <v>40</v>
      </c>
      <c r="G42" s="175">
        <f>IFERROR(E42/F42,"")</f>
        <v>3.5100000000000002</v>
      </c>
      <c r="H42" s="165">
        <f>$D$35*$J$35+$D$36*$J$36+$D$37*$J$37+$D$38*$J$38</f>
        <v>798.78134810174083</v>
      </c>
      <c r="I42" s="175">
        <f>IFERROR(H42/(B42*C42),"")</f>
        <v>0.31951253924069634</v>
      </c>
      <c r="J42" s="178" t="str">
        <f t="shared" ref="J42:J50" si="13">IF(G42&lt;=1,"PASS","FAIL")</f>
        <v>FAIL</v>
      </c>
      <c r="K42" s="178" t="str">
        <f t="shared" ref="K42:K50" si="14">IF(I42&lt;=$B$32,"PASS","FAIL")</f>
        <v>FAIL</v>
      </c>
      <c r="L42" s="166" t="str">
        <f t="shared" ref="L42:L50" si="15">IF(AND(J42="PASS",K42="PASS"),"PASS","CHECK")</f>
        <v>CHECK</v>
      </c>
      <c r="M42" s="166" t="str">
        <f t="shared" ref="M42:M50" si="16">IF(L42="PASS","USE","Increase W / split route")</f>
        <v>Increase W / split route</v>
      </c>
    </row>
    <row r="43" spans="1:13" ht="15">
      <c r="A43" s="176" t="str">
        <f t="shared" si="11"/>
        <v>75 x 75 mm</v>
      </c>
      <c r="B43" s="176">
        <f t="shared" si="11"/>
        <v>75</v>
      </c>
      <c r="C43" s="176">
        <f t="shared" si="11"/>
        <v>75</v>
      </c>
      <c r="D43" s="165">
        <f t="shared" si="12"/>
        <v>20</v>
      </c>
      <c r="E43" s="165">
        <f t="shared" ref="E43:E50" si="17">$C$35*$J$35+$C$36*$J$36+$C$37*$J$37+$C$38*$J$38</f>
        <v>140.4</v>
      </c>
      <c r="F43" s="165">
        <f t="shared" ref="F43:F50" si="18">$B$33*B43</f>
        <v>60</v>
      </c>
      <c r="G43" s="175">
        <f t="shared" ref="G43:G50" si="19">IFERROR(E43/F43,"")</f>
        <v>2.3400000000000003</v>
      </c>
      <c r="H43" s="165">
        <f t="shared" ref="H43:H50" si="20">$D$35*$J$35+$D$36*$J$36+$D$37*$J$37+$D$38*$J$38</f>
        <v>798.78134810174083</v>
      </c>
      <c r="I43" s="175">
        <f t="shared" ref="I43:I50" si="21">IFERROR(H43/(B43*C43),"")</f>
        <v>0.14200557299586503</v>
      </c>
      <c r="J43" s="178" t="str">
        <f t="shared" si="13"/>
        <v>FAIL</v>
      </c>
      <c r="K43" s="178" t="str">
        <f t="shared" si="14"/>
        <v>PASS</v>
      </c>
      <c r="L43" s="166" t="str">
        <f t="shared" si="15"/>
        <v>CHECK</v>
      </c>
      <c r="M43" s="166" t="str">
        <f t="shared" si="16"/>
        <v>Increase W / split route</v>
      </c>
    </row>
    <row r="44" spans="1:13" ht="15">
      <c r="A44" s="176" t="str">
        <f t="shared" si="11"/>
        <v>100 x 50 mm</v>
      </c>
      <c r="B44" s="176">
        <f t="shared" si="11"/>
        <v>100</v>
      </c>
      <c r="C44" s="176">
        <f t="shared" si="11"/>
        <v>50</v>
      </c>
      <c r="D44" s="165">
        <f t="shared" si="12"/>
        <v>20</v>
      </c>
      <c r="E44" s="165">
        <f t="shared" si="17"/>
        <v>140.4</v>
      </c>
      <c r="F44" s="165">
        <f t="shared" si="18"/>
        <v>80</v>
      </c>
      <c r="G44" s="175">
        <f t="shared" si="19"/>
        <v>1.7550000000000001</v>
      </c>
      <c r="H44" s="165">
        <f t="shared" si="20"/>
        <v>798.78134810174083</v>
      </c>
      <c r="I44" s="175">
        <f t="shared" si="21"/>
        <v>0.15975626962034817</v>
      </c>
      <c r="J44" s="178" t="str">
        <f t="shared" si="13"/>
        <v>FAIL</v>
      </c>
      <c r="K44" s="178" t="str">
        <f t="shared" si="14"/>
        <v>PASS</v>
      </c>
      <c r="L44" s="166" t="str">
        <f t="shared" si="15"/>
        <v>CHECK</v>
      </c>
      <c r="M44" s="166" t="str">
        <f t="shared" si="16"/>
        <v>Increase W / split route</v>
      </c>
    </row>
    <row r="45" spans="1:13" ht="15">
      <c r="A45" s="176" t="str">
        <f t="shared" si="11"/>
        <v>100 x 100 mm</v>
      </c>
      <c r="B45" s="176">
        <f t="shared" si="11"/>
        <v>100</v>
      </c>
      <c r="C45" s="176">
        <f t="shared" si="11"/>
        <v>100</v>
      </c>
      <c r="D45" s="165">
        <f t="shared" si="12"/>
        <v>20</v>
      </c>
      <c r="E45" s="165">
        <f t="shared" si="17"/>
        <v>140.4</v>
      </c>
      <c r="F45" s="165">
        <f t="shared" si="18"/>
        <v>80</v>
      </c>
      <c r="G45" s="175">
        <f t="shared" si="19"/>
        <v>1.7550000000000001</v>
      </c>
      <c r="H45" s="165">
        <f t="shared" si="20"/>
        <v>798.78134810174083</v>
      </c>
      <c r="I45" s="175">
        <f t="shared" si="21"/>
        <v>7.9878134810174084E-2</v>
      </c>
      <c r="J45" s="178" t="str">
        <f t="shared" si="13"/>
        <v>FAIL</v>
      </c>
      <c r="K45" s="178" t="str">
        <f t="shared" si="14"/>
        <v>PASS</v>
      </c>
      <c r="L45" s="166" t="str">
        <f t="shared" si="15"/>
        <v>CHECK</v>
      </c>
      <c r="M45" s="166" t="str">
        <f t="shared" si="16"/>
        <v>Increase W / split route</v>
      </c>
    </row>
    <row r="46" spans="1:13" ht="15">
      <c r="A46" s="176" t="str">
        <f t="shared" si="11"/>
        <v>150 x 100 mm</v>
      </c>
      <c r="B46" s="176">
        <f t="shared" si="11"/>
        <v>150</v>
      </c>
      <c r="C46" s="176">
        <f t="shared" si="11"/>
        <v>100</v>
      </c>
      <c r="D46" s="165">
        <f t="shared" si="12"/>
        <v>20</v>
      </c>
      <c r="E46" s="165">
        <f t="shared" si="17"/>
        <v>140.4</v>
      </c>
      <c r="F46" s="165">
        <f t="shared" si="18"/>
        <v>120</v>
      </c>
      <c r="G46" s="175">
        <f t="shared" si="19"/>
        <v>1.1700000000000002</v>
      </c>
      <c r="H46" s="165">
        <f t="shared" si="20"/>
        <v>798.78134810174083</v>
      </c>
      <c r="I46" s="175">
        <f t="shared" si="21"/>
        <v>5.3252089873449392E-2</v>
      </c>
      <c r="J46" s="178" t="str">
        <f t="shared" si="13"/>
        <v>FAIL</v>
      </c>
      <c r="K46" s="178" t="str">
        <f t="shared" si="14"/>
        <v>PASS</v>
      </c>
      <c r="L46" s="166" t="str">
        <f t="shared" si="15"/>
        <v>CHECK</v>
      </c>
      <c r="M46" s="166" t="str">
        <f t="shared" si="16"/>
        <v>Increase W / split route</v>
      </c>
    </row>
    <row r="47" spans="1:13" ht="15">
      <c r="A47" s="176" t="str">
        <f t="shared" si="11"/>
        <v>150 x 150 mm</v>
      </c>
      <c r="B47" s="176">
        <f t="shared" si="11"/>
        <v>150</v>
      </c>
      <c r="C47" s="176">
        <f t="shared" si="11"/>
        <v>150</v>
      </c>
      <c r="D47" s="165">
        <f t="shared" si="12"/>
        <v>20</v>
      </c>
      <c r="E47" s="165">
        <f t="shared" si="17"/>
        <v>140.4</v>
      </c>
      <c r="F47" s="165">
        <f t="shared" si="18"/>
        <v>120</v>
      </c>
      <c r="G47" s="175">
        <f t="shared" si="19"/>
        <v>1.1700000000000002</v>
      </c>
      <c r="H47" s="165">
        <f t="shared" si="20"/>
        <v>798.78134810174083</v>
      </c>
      <c r="I47" s="175">
        <f t="shared" si="21"/>
        <v>3.5501393248966256E-2</v>
      </c>
      <c r="J47" s="178" t="str">
        <f t="shared" si="13"/>
        <v>FAIL</v>
      </c>
      <c r="K47" s="178" t="str">
        <f t="shared" si="14"/>
        <v>PASS</v>
      </c>
      <c r="L47" s="166" t="str">
        <f t="shared" si="15"/>
        <v>CHECK</v>
      </c>
      <c r="M47" s="166" t="str">
        <f t="shared" si="16"/>
        <v>Increase W / split route</v>
      </c>
    </row>
    <row r="48" spans="1:13" ht="15">
      <c r="A48" s="176" t="str">
        <f t="shared" si="11"/>
        <v>200 x 100 mm</v>
      </c>
      <c r="B48" s="176">
        <f t="shared" si="11"/>
        <v>200</v>
      </c>
      <c r="C48" s="176">
        <f t="shared" si="11"/>
        <v>100</v>
      </c>
      <c r="D48" s="165">
        <f t="shared" si="12"/>
        <v>20</v>
      </c>
      <c r="E48" s="165">
        <f t="shared" si="17"/>
        <v>140.4</v>
      </c>
      <c r="F48" s="165">
        <f t="shared" si="18"/>
        <v>160</v>
      </c>
      <c r="G48" s="175">
        <f t="shared" si="19"/>
        <v>0.87750000000000006</v>
      </c>
      <c r="H48" s="165">
        <f t="shared" si="20"/>
        <v>798.78134810174083</v>
      </c>
      <c r="I48" s="175">
        <f t="shared" si="21"/>
        <v>3.9939067405087042E-2</v>
      </c>
      <c r="J48" s="178" t="str">
        <f t="shared" si="13"/>
        <v>PASS</v>
      </c>
      <c r="K48" s="178" t="str">
        <f t="shared" si="14"/>
        <v>PASS</v>
      </c>
      <c r="L48" s="166" t="str">
        <f t="shared" si="15"/>
        <v>PASS</v>
      </c>
      <c r="M48" s="166" t="str">
        <f t="shared" si="16"/>
        <v>USE</v>
      </c>
    </row>
    <row r="49" spans="1:13" ht="15">
      <c r="A49" s="176" t="str">
        <f t="shared" si="11"/>
        <v>200 x 150 mm</v>
      </c>
      <c r="B49" s="176">
        <f t="shared" si="11"/>
        <v>200</v>
      </c>
      <c r="C49" s="176">
        <f t="shared" si="11"/>
        <v>150</v>
      </c>
      <c r="D49" s="165">
        <f t="shared" si="12"/>
        <v>20</v>
      </c>
      <c r="E49" s="165">
        <f t="shared" si="17"/>
        <v>140.4</v>
      </c>
      <c r="F49" s="165">
        <f t="shared" si="18"/>
        <v>160</v>
      </c>
      <c r="G49" s="175">
        <f t="shared" si="19"/>
        <v>0.87750000000000006</v>
      </c>
      <c r="H49" s="165">
        <f t="shared" si="20"/>
        <v>798.78134810174083</v>
      </c>
      <c r="I49" s="175">
        <f t="shared" si="21"/>
        <v>2.6626044936724696E-2</v>
      </c>
      <c r="J49" s="178" t="str">
        <f t="shared" si="13"/>
        <v>PASS</v>
      </c>
      <c r="K49" s="178" t="str">
        <f t="shared" si="14"/>
        <v>PASS</v>
      </c>
      <c r="L49" s="166" t="str">
        <f t="shared" si="15"/>
        <v>PASS</v>
      </c>
      <c r="M49" s="166" t="str">
        <f t="shared" si="16"/>
        <v>USE</v>
      </c>
    </row>
    <row r="50" spans="1:13" ht="15">
      <c r="A50" s="176" t="str">
        <f t="shared" si="11"/>
        <v>200 x 200 mm</v>
      </c>
      <c r="B50" s="176">
        <f t="shared" si="11"/>
        <v>200</v>
      </c>
      <c r="C50" s="176">
        <f t="shared" si="11"/>
        <v>200</v>
      </c>
      <c r="D50" s="165">
        <f t="shared" si="12"/>
        <v>20</v>
      </c>
      <c r="E50" s="165">
        <f t="shared" si="17"/>
        <v>140.4</v>
      </c>
      <c r="F50" s="165">
        <f t="shared" si="18"/>
        <v>160</v>
      </c>
      <c r="G50" s="175">
        <f t="shared" si="19"/>
        <v>0.87750000000000006</v>
      </c>
      <c r="H50" s="165">
        <f t="shared" si="20"/>
        <v>798.78134810174083</v>
      </c>
      <c r="I50" s="175">
        <f t="shared" si="21"/>
        <v>1.9969533702543521E-2</v>
      </c>
      <c r="J50" s="178" t="str">
        <f t="shared" si="13"/>
        <v>PASS</v>
      </c>
      <c r="K50" s="178" t="str">
        <f t="shared" si="14"/>
        <v>PASS</v>
      </c>
      <c r="L50" s="166" t="str">
        <f t="shared" si="15"/>
        <v>PASS</v>
      </c>
      <c r="M50" s="166" t="str">
        <f t="shared" si="16"/>
        <v>USE</v>
      </c>
    </row>
  </sheetData>
  <mergeCells count="9">
    <mergeCell ref="A39:M39"/>
    <mergeCell ref="A40:M40"/>
    <mergeCell ref="A27:J27"/>
    <mergeCell ref="A28:J28"/>
    <mergeCell ref="A1:J1"/>
    <mergeCell ref="A2:J2"/>
    <mergeCell ref="A3:J3"/>
    <mergeCell ref="A17:L17"/>
    <mergeCell ref="A18:L18"/>
  </mergeCells>
  <conditionalFormatting sqref="I6:I14">
    <cfRule type="cellIs" dxfId="67" priority="26" operator="equal">
      <formula>"DERATING CHECK &gt;30 CCC"</formula>
    </cfRule>
    <cfRule type="containsText" dxfId="66" priority="28" operator="containsText" text="FAIL"/>
    <cfRule type="containsText" dxfId="65" priority="29" operator="containsText" text="CHECK"/>
  </conditionalFormatting>
  <conditionalFormatting sqref="I20:I24">
    <cfRule type="cellIs" dxfId="64" priority="39" operator="greaterThan">
      <formula>0.8</formula>
    </cfRule>
  </conditionalFormatting>
  <conditionalFormatting sqref="I35:I38">
    <cfRule type="cellIs" dxfId="63" priority="37" operator="equal">
      <formula>"DERATING CHECK &gt;30 CCC"</formula>
    </cfRule>
  </conditionalFormatting>
  <conditionalFormatting sqref="I6:J14">
    <cfRule type="containsText" dxfId="62" priority="27" operator="containsText" text="PASS"/>
    <cfRule type="containsText" dxfId="61" priority="30" operator="containsText" text="NOT PERMITTED"/>
  </conditionalFormatting>
  <conditionalFormatting sqref="J6:J14">
    <cfRule type="containsText" dxfId="60" priority="66" operator="containsText" text="NOT PERMITTED"/>
    <cfRule type="containsText" dxfId="59" priority="64" operator="containsText" text="CHECK"/>
  </conditionalFormatting>
  <conditionalFormatting sqref="J42:J50">
    <cfRule type="containsText" dxfId="58" priority="19" operator="containsText" text="CHECK"/>
    <cfRule type="containsText" dxfId="57" priority="15" operator="containsText" text="CHECK"/>
    <cfRule type="containsText" dxfId="56" priority="16" operator="containsText" text="NOT PERMITTED"/>
    <cfRule type="containsText" dxfId="55" priority="17" operator="containsText" text="PASS"/>
    <cfRule type="containsText" dxfId="54" priority="18" operator="containsText" text="FAIL"/>
    <cfRule type="containsText" dxfId="53" priority="20" operator="containsText" text="NOT PERMITTED"/>
  </conditionalFormatting>
  <conditionalFormatting sqref="J42:K50">
    <cfRule type="cellIs" dxfId="52" priority="2" operator="equal">
      <formula>"FAIL"</formula>
    </cfRule>
    <cfRule type="containsText" dxfId="51" priority="7" operator="containsText" text="PASS"/>
    <cfRule type="cellIs" dxfId="50" priority="1" operator="equal">
      <formula>"PASS"</formula>
    </cfRule>
    <cfRule type="containsText" dxfId="49" priority="10" operator="containsText" text="NOT PERMITTED"/>
  </conditionalFormatting>
  <conditionalFormatting sqref="K20:K24">
    <cfRule type="containsText" dxfId="48" priority="48" operator="containsText" text="CHECK"/>
    <cfRule type="containsText" dxfId="47" priority="47" operator="containsText" text="FAIL"/>
  </conditionalFormatting>
  <conditionalFormatting sqref="K42:K50">
    <cfRule type="containsText" dxfId="46" priority="3" operator="containsText" text="PASS"/>
    <cfRule type="containsText" dxfId="45" priority="4" operator="containsText" text="FAIL"/>
    <cfRule type="containsText" dxfId="44" priority="5" operator="containsText" text="CHECK"/>
    <cfRule type="containsText" dxfId="43" priority="6" operator="containsText" text="NOT PERMITTED"/>
    <cfRule type="containsText" dxfId="42" priority="9" operator="containsText" text="CHECK"/>
    <cfRule type="containsText" dxfId="41" priority="8" operator="containsText" text="FAIL"/>
  </conditionalFormatting>
  <conditionalFormatting sqref="K20:L24">
    <cfRule type="containsText" dxfId="40" priority="49" operator="containsText" text="NOT PERMITTED"/>
    <cfRule type="cellIs" dxfId="39" priority="44" operator="equal">
      <formula>"PASS"</formula>
    </cfRule>
    <cfRule type="cellIs" dxfId="38" priority="45" operator="equal">
      <formula>"FAIL"</formula>
    </cfRule>
    <cfRule type="containsText" dxfId="37" priority="46" operator="containsText" text="PASS"/>
  </conditionalFormatting>
  <conditionalFormatting sqref="K20:M24">
    <cfRule type="containsText" dxfId="36" priority="67" operator="containsText" text="PASS"/>
    <cfRule type="containsText" dxfId="35" priority="68" operator="containsText" text="FAIL"/>
    <cfRule type="containsText" dxfId="34" priority="69" operator="containsText" text="CHECK"/>
    <cfRule type="containsText" dxfId="33" priority="71" operator="containsText" text="NOT PERMITTED"/>
  </conditionalFormatting>
  <conditionalFormatting sqref="L20:L24">
    <cfRule type="containsText" dxfId="32" priority="54" operator="containsText" text="CHECK">
      <formula>NOT(ISERROR(SEARCH("CHECK",L20)))</formula>
    </cfRule>
    <cfRule type="containsText" dxfId="31" priority="55" operator="containsText" text="NOT PERMITTED"/>
  </conditionalFormatting>
  <conditionalFormatting sqref="L42:M50">
    <cfRule type="containsText" dxfId="30" priority="81" operator="containsText" text="NOT PERMITTED"/>
    <cfRule type="containsText" dxfId="29" priority="77" operator="containsText" text="PASS"/>
    <cfRule type="containsText" dxfId="28" priority="78" operator="containsText" text="FAIL"/>
    <cfRule type="containsText" dxfId="27" priority="79" operator="containsText" text="CHECK"/>
  </conditionalFormatting>
  <conditionalFormatting sqref="M20:M24">
    <cfRule type="cellIs" dxfId="26" priority="38" operator="equal">
      <formula>"DERATING CHECK &gt;30 CCC"</formula>
    </cfRule>
  </conditionalFormatting>
  <conditionalFormatting sqref="M35:M38">
    <cfRule type="cellIs" dxfId="25" priority="32" operator="equal">
      <formula>"FAIL"</formula>
    </cfRule>
    <cfRule type="cellIs" dxfId="24" priority="31" operator="equal">
      <formula>"PASS"</formula>
    </cfRule>
    <cfRule type="containsText" dxfId="23" priority="33" operator="containsText" text="PASS"/>
    <cfRule type="containsText" dxfId="22" priority="34" operator="containsText" text="NOT PERMITTED"/>
    <cfRule type="containsText" dxfId="21" priority="35" operator="containsText" text="CHECK">
      <formula>NOT(ISERROR(SEARCH("CHECK",M35)))</formula>
    </cfRule>
    <cfRule type="containsText" dxfId="20" priority="36" operator="containsText" text="NOT PERMITTED"/>
  </conditionalFormatting>
  <conditionalFormatting sqref="W6:W14">
    <cfRule type="cellIs" dxfId="19" priority="21" operator="equal">
      <formula>"DERATING CHECK &gt;30 CCC"</formula>
    </cfRule>
    <cfRule type="containsText" dxfId="18" priority="25" operator="containsText" text="NOT PERMITTED"/>
    <cfRule type="containsText" dxfId="17" priority="24" operator="containsText" text="CHECK"/>
    <cfRule type="containsText" dxfId="16" priority="23" operator="containsText" text="FAIL"/>
    <cfRule type="containsText" dxfId="15" priority="22" operator="containsText" text="PASS"/>
  </conditionalFormatting>
  <conditionalFormatting sqref="X6:X14">
    <cfRule type="containsText" dxfId="14" priority="73" operator="containsText" text="FAIL"/>
    <cfRule type="containsText" dxfId="13" priority="74" operator="containsText" text="CHECK"/>
    <cfRule type="containsText" dxfId="12" priority="76" operator="containsText" text="NOT PERMITTED"/>
    <cfRule type="containsText" dxfId="11" priority="72" operator="containsText" text="PASS"/>
  </conditionalFormatting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rgb="FF7030A0"/>
  </sheetPr>
  <dimension ref="A1:U24"/>
  <sheetViews>
    <sheetView showGridLines="0" topLeftCell="B1" workbookViewId="0">
      <selection activeCell="E35" sqref="E35"/>
    </sheetView>
  </sheetViews>
  <sheetFormatPr defaultRowHeight="13.8"/>
  <cols>
    <col min="1" max="1" width="9.09765625" customWidth="1"/>
    <col min="2" max="2" width="12.59765625" customWidth="1"/>
    <col min="3" max="3" width="11" customWidth="1"/>
    <col min="4" max="4" width="10.69921875" customWidth="1"/>
    <col min="5" max="5" width="37.5" customWidth="1"/>
    <col min="6" max="6" width="22.19921875" customWidth="1"/>
    <col min="7" max="7" width="10.09765625" customWidth="1"/>
    <col min="8" max="9" width="13.59765625" customWidth="1"/>
    <col min="10" max="10" width="13" customWidth="1"/>
    <col min="11" max="11" width="18" customWidth="1"/>
    <col min="12" max="12" width="11.8984375" customWidth="1"/>
    <col min="13" max="13" width="28.19921875" customWidth="1"/>
    <col min="14" max="14" width="13.19921875" customWidth="1"/>
    <col min="15" max="15" width="10.19921875" customWidth="1"/>
    <col min="16" max="16" width="11.19921875" customWidth="1"/>
    <col min="17" max="17" width="26.8984375" customWidth="1"/>
    <col min="18" max="18" width="27.3984375" customWidth="1"/>
    <col min="19" max="19" width="12" customWidth="1"/>
    <col min="20" max="20" width="7.3984375" customWidth="1"/>
    <col min="21" max="21" width="33.3984375" customWidth="1"/>
  </cols>
  <sheetData>
    <row r="1" spans="1:21" ht="30" customHeight="1">
      <c r="A1" s="205" t="s">
        <v>617</v>
      </c>
      <c r="B1" s="205" t="s">
        <v>617</v>
      </c>
      <c r="C1" s="205" t="s">
        <v>617</v>
      </c>
      <c r="D1" s="205" t="s">
        <v>617</v>
      </c>
      <c r="E1" s="205" t="s">
        <v>617</v>
      </c>
      <c r="F1" s="205" t="s">
        <v>617</v>
      </c>
      <c r="G1" s="205" t="s">
        <v>617</v>
      </c>
      <c r="H1" s="205" t="s">
        <v>617</v>
      </c>
      <c r="I1" s="205" t="s">
        <v>617</v>
      </c>
      <c r="J1" s="205" t="s">
        <v>617</v>
      </c>
      <c r="K1" s="205" t="s">
        <v>617</v>
      </c>
      <c r="L1" s="205" t="s">
        <v>617</v>
      </c>
      <c r="M1" s="205" t="s">
        <v>617</v>
      </c>
      <c r="N1" s="205" t="s">
        <v>617</v>
      </c>
      <c r="O1" s="205" t="s">
        <v>617</v>
      </c>
      <c r="P1" s="205" t="s">
        <v>617</v>
      </c>
      <c r="Q1" s="205" t="s">
        <v>617</v>
      </c>
      <c r="R1" s="205" t="s">
        <v>617</v>
      </c>
      <c r="S1" s="205" t="s">
        <v>617</v>
      </c>
      <c r="T1" s="205" t="s">
        <v>617</v>
      </c>
      <c r="U1" s="205" t="s">
        <v>617</v>
      </c>
    </row>
    <row r="2" spans="1:21">
      <c r="A2" s="232" t="s">
        <v>618</v>
      </c>
      <c r="B2" s="232" t="s">
        <v>619</v>
      </c>
      <c r="C2" s="232" t="s">
        <v>619</v>
      </c>
      <c r="D2" s="232" t="s">
        <v>619</v>
      </c>
      <c r="E2" s="232" t="s">
        <v>619</v>
      </c>
      <c r="F2" s="232" t="s">
        <v>619</v>
      </c>
      <c r="G2" s="232" t="s">
        <v>619</v>
      </c>
      <c r="H2" s="232" t="s">
        <v>619</v>
      </c>
      <c r="I2" s="232" t="s">
        <v>619</v>
      </c>
      <c r="J2" s="232" t="s">
        <v>619</v>
      </c>
      <c r="K2" s="232" t="s">
        <v>619</v>
      </c>
      <c r="L2" s="232" t="s">
        <v>619</v>
      </c>
      <c r="M2" s="232" t="s">
        <v>619</v>
      </c>
      <c r="N2" s="232" t="s">
        <v>619</v>
      </c>
      <c r="O2" s="232" t="s">
        <v>619</v>
      </c>
      <c r="P2" s="232" t="s">
        <v>619</v>
      </c>
      <c r="Q2" s="232" t="s">
        <v>619</v>
      </c>
      <c r="R2" s="232" t="s">
        <v>619</v>
      </c>
      <c r="S2" s="232" t="s">
        <v>619</v>
      </c>
      <c r="T2" s="232" t="s">
        <v>619</v>
      </c>
      <c r="U2" s="232" t="s">
        <v>619</v>
      </c>
    </row>
    <row r="3" spans="1:21">
      <c r="A3" s="2"/>
      <c r="B3" s="2"/>
      <c r="C3" s="2"/>
      <c r="D3" s="2"/>
      <c r="E3" s="2" t="s">
        <v>620</v>
      </c>
      <c r="F3" s="2" t="s">
        <v>621</v>
      </c>
      <c r="G3" s="2"/>
      <c r="H3" s="2"/>
      <c r="I3" s="2"/>
      <c r="J3" s="2"/>
      <c r="K3" s="2" t="s">
        <v>622</v>
      </c>
      <c r="L3" s="2"/>
      <c r="M3" s="2"/>
      <c r="N3" s="2"/>
      <c r="O3" s="2"/>
      <c r="P3" s="2"/>
      <c r="Q3" s="55" t="s">
        <v>623</v>
      </c>
      <c r="R3" s="2" t="s">
        <v>624</v>
      </c>
      <c r="S3" s="40"/>
      <c r="T3" s="39"/>
      <c r="U3" s="2"/>
    </row>
    <row r="4" spans="1:21" ht="41.4">
      <c r="A4" s="1" t="s">
        <v>333</v>
      </c>
      <c r="B4" s="1" t="s">
        <v>625</v>
      </c>
      <c r="C4" s="1" t="s">
        <v>100</v>
      </c>
      <c r="D4" s="1" t="s">
        <v>311</v>
      </c>
      <c r="E4" s="1" t="s">
        <v>626</v>
      </c>
      <c r="F4" s="1" t="s">
        <v>627</v>
      </c>
      <c r="G4" s="1" t="s">
        <v>628</v>
      </c>
      <c r="H4" s="1" t="s">
        <v>629</v>
      </c>
      <c r="I4" s="1" t="s">
        <v>630</v>
      </c>
      <c r="J4" s="1" t="s">
        <v>151</v>
      </c>
      <c r="K4" s="1" t="s">
        <v>631</v>
      </c>
      <c r="L4" s="1" t="s">
        <v>632</v>
      </c>
      <c r="M4" s="1" t="s">
        <v>633</v>
      </c>
      <c r="N4" s="1" t="s">
        <v>634</v>
      </c>
      <c r="O4" s="1" t="s">
        <v>635</v>
      </c>
      <c r="P4" s="1" t="s">
        <v>636</v>
      </c>
      <c r="Q4" s="1" t="s">
        <v>637</v>
      </c>
      <c r="R4" s="1" t="s">
        <v>638</v>
      </c>
      <c r="S4" s="1" t="s">
        <v>639</v>
      </c>
      <c r="T4" s="1" t="s">
        <v>341</v>
      </c>
      <c r="U4" s="1" t="s">
        <v>154</v>
      </c>
    </row>
    <row r="5" spans="1:21" ht="26.4">
      <c r="A5" s="61" t="s">
        <v>344</v>
      </c>
      <c r="B5" s="61" t="s">
        <v>37</v>
      </c>
      <c r="C5" s="61" t="s">
        <v>181</v>
      </c>
      <c r="D5" s="61" t="s">
        <v>640</v>
      </c>
      <c r="E5" s="61" t="s">
        <v>345</v>
      </c>
      <c r="F5" s="65">
        <f>IFERROR(VLOOKUP(E5,'1.IMC Max Count'!$B$10:$E$13,4,FALSE),"")</f>
        <v>6</v>
      </c>
      <c r="G5" s="63">
        <v>40</v>
      </c>
      <c r="H5" s="62" t="s">
        <v>641</v>
      </c>
      <c r="I5" s="62">
        <v>100</v>
      </c>
      <c r="J5" s="62">
        <v>100</v>
      </c>
      <c r="K5" s="118" t="s">
        <v>642</v>
      </c>
      <c r="L5" s="64">
        <v>0.2</v>
      </c>
      <c r="M5" s="62" t="s">
        <v>643</v>
      </c>
      <c r="N5" s="66">
        <f>IF(OR(F5="",G5=""),"",PI()*F5^2/4*G5)</f>
        <v>1130.9733552923256</v>
      </c>
      <c r="O5" s="66">
        <f>IF(I5="","",IF(B5="Conduit",PI()*I5^2/4,I5*IF(J5="",1,J5)))</f>
        <v>10000</v>
      </c>
      <c r="P5" s="67">
        <f t="shared" ref="P5:P24" si="0">IF(OR(N5="",O5=""),"",N5/O5)</f>
        <v>0.11309733552923255</v>
      </c>
      <c r="Q5" s="66">
        <f t="shared" ref="Q5:Q24" si="1">IF(OR(F5="",G5=""),"",F5*G5)</f>
        <v>240</v>
      </c>
      <c r="R5" s="68">
        <f t="shared" ref="R5:R24" si="2">IF(OR(Q5="",I5=""),"",Q5/I5)</f>
        <v>2.4</v>
      </c>
      <c r="S5" s="69" t="s">
        <v>644</v>
      </c>
      <c r="T5" s="69" t="str">
        <f t="shared" ref="T5:T24" si="3">IF(OR(K5="",L5="",M5=""),"REVIEW",IF(P5&gt;L5,"FAIL",IF(S5="PASS","PASS","PHYSICAL PASS / THERMAL OPEN")))</f>
        <v>PASS</v>
      </c>
      <c r="U5" s="33" t="s">
        <v>645</v>
      </c>
    </row>
    <row r="6" spans="1:21" ht="26.4">
      <c r="A6" s="61" t="s">
        <v>349</v>
      </c>
      <c r="B6" s="61" t="s">
        <v>37</v>
      </c>
      <c r="C6" s="61" t="s">
        <v>181</v>
      </c>
      <c r="D6" s="61" t="s">
        <v>646</v>
      </c>
      <c r="E6" s="61" t="s">
        <v>350</v>
      </c>
      <c r="F6" s="65">
        <f>IFERROR(VLOOKUP(E6,'1.IMC Max Count'!$B$10:$E$13,4,FALSE),"")</f>
        <v>7</v>
      </c>
      <c r="G6" s="63">
        <v>55</v>
      </c>
      <c r="H6" s="62" t="s">
        <v>641</v>
      </c>
      <c r="I6" s="62">
        <v>200</v>
      </c>
      <c r="J6" s="62">
        <v>100</v>
      </c>
      <c r="K6" s="118" t="s">
        <v>642</v>
      </c>
      <c r="L6" s="64">
        <v>0.2</v>
      </c>
      <c r="M6" s="62" t="s">
        <v>643</v>
      </c>
      <c r="N6" s="66">
        <f t="shared" ref="N6:N24" si="4">IF(OR(F6="",G6=""),"",PI()*F6^2/4*G6)</f>
        <v>2116.6480503561229</v>
      </c>
      <c r="O6" s="66">
        <f t="shared" ref="O6:O24" si="5">IF(I6="","",IF(B6="Conduit",PI()*I6^2/4,I6*IF(J6="",1,J6)))</f>
        <v>20000</v>
      </c>
      <c r="P6" s="67">
        <f t="shared" si="0"/>
        <v>0.10583240251780615</v>
      </c>
      <c r="Q6" s="66">
        <f t="shared" si="1"/>
        <v>385</v>
      </c>
      <c r="R6" s="68">
        <f t="shared" si="2"/>
        <v>1.925</v>
      </c>
      <c r="S6" s="69" t="s">
        <v>644</v>
      </c>
      <c r="T6" s="69" t="str">
        <f t="shared" si="3"/>
        <v>PASS</v>
      </c>
      <c r="U6" s="33" t="s">
        <v>647</v>
      </c>
    </row>
    <row r="7" spans="1:21" ht="26.4">
      <c r="A7" s="61" t="s">
        <v>352</v>
      </c>
      <c r="B7" s="61" t="s">
        <v>37</v>
      </c>
      <c r="C7" s="61" t="s">
        <v>181</v>
      </c>
      <c r="D7" s="61" t="s">
        <v>640</v>
      </c>
      <c r="E7" s="61" t="s">
        <v>402</v>
      </c>
      <c r="F7" s="65">
        <f>IFERROR(VLOOKUP(E7,'1.IMC Max Count'!$B$10:$E$13,4,FALSE),"")</f>
        <v>8.1999999999999993</v>
      </c>
      <c r="G7" s="63">
        <v>40</v>
      </c>
      <c r="H7" s="62" t="s">
        <v>641</v>
      </c>
      <c r="I7" s="62">
        <v>100</v>
      </c>
      <c r="J7" s="62">
        <v>100</v>
      </c>
      <c r="K7" s="118" t="s">
        <v>642</v>
      </c>
      <c r="L7" s="64">
        <v>0.2</v>
      </c>
      <c r="M7" s="62" t="s">
        <v>643</v>
      </c>
      <c r="N7" s="66">
        <f t="shared" si="4"/>
        <v>2112.4069002737765</v>
      </c>
      <c r="O7" s="66">
        <f t="shared" si="5"/>
        <v>10000</v>
      </c>
      <c r="P7" s="67">
        <f t="shared" si="0"/>
        <v>0.21124069002737764</v>
      </c>
      <c r="Q7" s="66">
        <f t="shared" si="1"/>
        <v>328</v>
      </c>
      <c r="R7" s="68">
        <f t="shared" si="2"/>
        <v>3.28</v>
      </c>
      <c r="S7" s="69" t="s">
        <v>644</v>
      </c>
      <c r="T7" s="69" t="str">
        <f>IF(OR(K7="",L7="",M7=""),"REVIEW",IF(P7&gt;L7,"FAIL",IF(S7="PASS","PASS","PHYSICAL PASS / THERMAL OPEN")))</f>
        <v>FAIL</v>
      </c>
      <c r="U7" s="33" t="s">
        <v>648</v>
      </c>
    </row>
    <row r="8" spans="1:21" ht="26.4">
      <c r="A8" s="61" t="s">
        <v>356</v>
      </c>
      <c r="B8" s="61"/>
      <c r="C8" s="61"/>
      <c r="D8" s="61"/>
      <c r="E8" s="61"/>
      <c r="F8" s="65" t="str">
        <f>IFERROR(VLOOKUP(E8,'1.IMC Max Count'!$B$10:$E$13,4,FALSE),"")</f>
        <v/>
      </c>
      <c r="G8" s="62"/>
      <c r="H8" s="62"/>
      <c r="I8" s="62"/>
      <c r="J8" s="62"/>
      <c r="K8" s="118" t="s">
        <v>642</v>
      </c>
      <c r="L8" s="64">
        <v>0.2</v>
      </c>
      <c r="M8" s="62"/>
      <c r="N8" s="66" t="str">
        <f t="shared" si="4"/>
        <v/>
      </c>
      <c r="O8" s="66" t="str">
        <f t="shared" si="5"/>
        <v/>
      </c>
      <c r="P8" s="67" t="str">
        <f t="shared" si="0"/>
        <v/>
      </c>
      <c r="Q8" s="66" t="str">
        <f t="shared" si="1"/>
        <v/>
      </c>
      <c r="R8" s="68" t="str">
        <f t="shared" si="2"/>
        <v/>
      </c>
      <c r="S8" s="69" t="s">
        <v>162</v>
      </c>
      <c r="T8" s="69" t="str">
        <f t="shared" si="3"/>
        <v>REVIEW</v>
      </c>
      <c r="U8" s="33"/>
    </row>
    <row r="9" spans="1:21" ht="26.4">
      <c r="A9" s="61" t="s">
        <v>357</v>
      </c>
      <c r="B9" s="61"/>
      <c r="C9" s="61"/>
      <c r="D9" s="61"/>
      <c r="E9" s="61"/>
      <c r="F9" s="65" t="str">
        <f>IFERROR(VLOOKUP(E9,'1.IMC Max Count'!$B$10:$E$13,4,FALSE),"")</f>
        <v/>
      </c>
      <c r="G9" s="62"/>
      <c r="H9" s="62"/>
      <c r="I9" s="62"/>
      <c r="J9" s="62"/>
      <c r="K9" s="118" t="s">
        <v>642</v>
      </c>
      <c r="L9" s="64">
        <v>0.2</v>
      </c>
      <c r="M9" s="62"/>
      <c r="N9" s="66" t="str">
        <f t="shared" si="4"/>
        <v/>
      </c>
      <c r="O9" s="66" t="str">
        <f t="shared" si="5"/>
        <v/>
      </c>
      <c r="P9" s="67" t="str">
        <f t="shared" si="0"/>
        <v/>
      </c>
      <c r="Q9" s="66" t="str">
        <f t="shared" si="1"/>
        <v/>
      </c>
      <c r="R9" s="68" t="str">
        <f t="shared" si="2"/>
        <v/>
      </c>
      <c r="S9" s="69" t="s">
        <v>162</v>
      </c>
      <c r="T9" s="69" t="str">
        <f t="shared" si="3"/>
        <v>REVIEW</v>
      </c>
      <c r="U9" s="33"/>
    </row>
    <row r="10" spans="1:21" ht="26.4">
      <c r="A10" s="61" t="s">
        <v>358</v>
      </c>
      <c r="B10" s="61"/>
      <c r="C10" s="61"/>
      <c r="D10" s="61"/>
      <c r="E10" s="61"/>
      <c r="F10" s="65" t="str">
        <f>IFERROR(VLOOKUP(E10,'1.IMC Max Count'!$B$10:$E$13,4,FALSE),"")</f>
        <v/>
      </c>
      <c r="G10" s="62"/>
      <c r="H10" s="62"/>
      <c r="I10" s="62"/>
      <c r="J10" s="62"/>
      <c r="K10" s="118" t="s">
        <v>642</v>
      </c>
      <c r="L10" s="64">
        <v>0.2</v>
      </c>
      <c r="M10" s="62"/>
      <c r="N10" s="66" t="str">
        <f t="shared" si="4"/>
        <v/>
      </c>
      <c r="O10" s="66" t="str">
        <f t="shared" si="5"/>
        <v/>
      </c>
      <c r="P10" s="67" t="str">
        <f t="shared" si="0"/>
        <v/>
      </c>
      <c r="Q10" s="66" t="str">
        <f t="shared" si="1"/>
        <v/>
      </c>
      <c r="R10" s="68" t="str">
        <f t="shared" si="2"/>
        <v/>
      </c>
      <c r="S10" s="69" t="s">
        <v>162</v>
      </c>
      <c r="T10" s="69" t="str">
        <f t="shared" si="3"/>
        <v>REVIEW</v>
      </c>
      <c r="U10" s="33"/>
    </row>
    <row r="11" spans="1:21" ht="26.4">
      <c r="A11" s="61" t="s">
        <v>359</v>
      </c>
      <c r="B11" s="61"/>
      <c r="C11" s="61"/>
      <c r="D11" s="61"/>
      <c r="E11" s="61"/>
      <c r="F11" s="65" t="str">
        <f>IFERROR(VLOOKUP(E11,'1.IMC Max Count'!$B$10:$E$13,4,FALSE),"")</f>
        <v/>
      </c>
      <c r="G11" s="62"/>
      <c r="H11" s="62"/>
      <c r="I11" s="62"/>
      <c r="J11" s="62"/>
      <c r="K11" s="118" t="s">
        <v>642</v>
      </c>
      <c r="L11" s="64">
        <v>0.2</v>
      </c>
      <c r="M11" s="62"/>
      <c r="N11" s="66" t="str">
        <f t="shared" si="4"/>
        <v/>
      </c>
      <c r="O11" s="66" t="str">
        <f t="shared" si="5"/>
        <v/>
      </c>
      <c r="P11" s="67" t="str">
        <f t="shared" si="0"/>
        <v/>
      </c>
      <c r="Q11" s="66" t="str">
        <f t="shared" si="1"/>
        <v/>
      </c>
      <c r="R11" s="68" t="str">
        <f t="shared" si="2"/>
        <v/>
      </c>
      <c r="S11" s="69" t="s">
        <v>162</v>
      </c>
      <c r="T11" s="69" t="str">
        <f t="shared" si="3"/>
        <v>REVIEW</v>
      </c>
      <c r="U11" s="33"/>
    </row>
    <row r="12" spans="1:21" ht="26.4">
      <c r="A12" s="61" t="s">
        <v>360</v>
      </c>
      <c r="B12" s="61"/>
      <c r="C12" s="61"/>
      <c r="D12" s="61"/>
      <c r="E12" s="61"/>
      <c r="F12" s="65" t="str">
        <f>IFERROR(VLOOKUP(E12,'1.IMC Max Count'!$B$10:$E$13,4,FALSE),"")</f>
        <v/>
      </c>
      <c r="G12" s="62"/>
      <c r="H12" s="62"/>
      <c r="I12" s="62"/>
      <c r="J12" s="62"/>
      <c r="K12" s="118" t="s">
        <v>642</v>
      </c>
      <c r="L12" s="64">
        <v>0.2</v>
      </c>
      <c r="M12" s="62"/>
      <c r="N12" s="66" t="str">
        <f t="shared" si="4"/>
        <v/>
      </c>
      <c r="O12" s="66" t="str">
        <f t="shared" si="5"/>
        <v/>
      </c>
      <c r="P12" s="67" t="str">
        <f t="shared" si="0"/>
        <v/>
      </c>
      <c r="Q12" s="66" t="str">
        <f t="shared" si="1"/>
        <v/>
      </c>
      <c r="R12" s="68" t="str">
        <f t="shared" si="2"/>
        <v/>
      </c>
      <c r="S12" s="69" t="s">
        <v>162</v>
      </c>
      <c r="T12" s="69" t="str">
        <f t="shared" si="3"/>
        <v>REVIEW</v>
      </c>
      <c r="U12" s="33"/>
    </row>
    <row r="13" spans="1:21" ht="26.4">
      <c r="A13" s="61" t="s">
        <v>361</v>
      </c>
      <c r="B13" s="61"/>
      <c r="C13" s="61"/>
      <c r="D13" s="61"/>
      <c r="E13" s="61"/>
      <c r="F13" s="65" t="str">
        <f>IFERROR(VLOOKUP(E13,'1.IMC Max Count'!$B$10:$E$13,4,FALSE),"")</f>
        <v/>
      </c>
      <c r="G13" s="62"/>
      <c r="H13" s="62"/>
      <c r="I13" s="62"/>
      <c r="J13" s="62"/>
      <c r="K13" s="118" t="s">
        <v>642</v>
      </c>
      <c r="L13" s="64">
        <v>0.2</v>
      </c>
      <c r="M13" s="62"/>
      <c r="N13" s="66" t="str">
        <f t="shared" si="4"/>
        <v/>
      </c>
      <c r="O13" s="66" t="str">
        <f t="shared" si="5"/>
        <v/>
      </c>
      <c r="P13" s="67" t="str">
        <f t="shared" si="0"/>
        <v/>
      </c>
      <c r="Q13" s="66" t="str">
        <f t="shared" si="1"/>
        <v/>
      </c>
      <c r="R13" s="68" t="str">
        <f t="shared" si="2"/>
        <v/>
      </c>
      <c r="S13" s="69" t="s">
        <v>162</v>
      </c>
      <c r="T13" s="69" t="str">
        <f t="shared" si="3"/>
        <v>REVIEW</v>
      </c>
      <c r="U13" s="33"/>
    </row>
    <row r="14" spans="1:21" ht="26.4">
      <c r="A14" s="61" t="s">
        <v>362</v>
      </c>
      <c r="B14" s="61"/>
      <c r="C14" s="61"/>
      <c r="D14" s="61"/>
      <c r="E14" s="61"/>
      <c r="F14" s="65" t="str">
        <f>IFERROR(VLOOKUP(E14,'1.IMC Max Count'!$B$10:$E$13,4,FALSE),"")</f>
        <v/>
      </c>
      <c r="G14" s="62"/>
      <c r="H14" s="62"/>
      <c r="I14" s="62"/>
      <c r="J14" s="62"/>
      <c r="K14" s="118" t="s">
        <v>642</v>
      </c>
      <c r="L14" s="64">
        <v>0.2</v>
      </c>
      <c r="M14" s="62"/>
      <c r="N14" s="66" t="str">
        <f t="shared" si="4"/>
        <v/>
      </c>
      <c r="O14" s="66" t="str">
        <f t="shared" si="5"/>
        <v/>
      </c>
      <c r="P14" s="67" t="str">
        <f t="shared" si="0"/>
        <v/>
      </c>
      <c r="Q14" s="66" t="str">
        <f t="shared" si="1"/>
        <v/>
      </c>
      <c r="R14" s="68" t="str">
        <f t="shared" si="2"/>
        <v/>
      </c>
      <c r="S14" s="69" t="s">
        <v>162</v>
      </c>
      <c r="T14" s="69" t="str">
        <f t="shared" si="3"/>
        <v>REVIEW</v>
      </c>
      <c r="U14" s="33"/>
    </row>
    <row r="15" spans="1:21" ht="26.4">
      <c r="A15" s="61" t="s">
        <v>363</v>
      </c>
      <c r="B15" s="61"/>
      <c r="C15" s="61"/>
      <c r="D15" s="61"/>
      <c r="E15" s="61"/>
      <c r="F15" s="65" t="str">
        <f>IFERROR(VLOOKUP(E15,'1.IMC Max Count'!$B$10:$E$13,4,FALSE),"")</f>
        <v/>
      </c>
      <c r="G15" s="62"/>
      <c r="H15" s="62"/>
      <c r="I15" s="62"/>
      <c r="J15" s="62"/>
      <c r="K15" s="118" t="s">
        <v>642</v>
      </c>
      <c r="L15" s="64">
        <v>0.2</v>
      </c>
      <c r="M15" s="62"/>
      <c r="N15" s="66" t="str">
        <f t="shared" si="4"/>
        <v/>
      </c>
      <c r="O15" s="66" t="str">
        <f t="shared" si="5"/>
        <v/>
      </c>
      <c r="P15" s="67" t="str">
        <f t="shared" si="0"/>
        <v/>
      </c>
      <c r="Q15" s="66" t="str">
        <f t="shared" si="1"/>
        <v/>
      </c>
      <c r="R15" s="68" t="str">
        <f t="shared" si="2"/>
        <v/>
      </c>
      <c r="S15" s="69" t="s">
        <v>162</v>
      </c>
      <c r="T15" s="69" t="str">
        <f t="shared" si="3"/>
        <v>REVIEW</v>
      </c>
      <c r="U15" s="33"/>
    </row>
    <row r="16" spans="1:21" ht="26.4">
      <c r="A16" s="61" t="s">
        <v>364</v>
      </c>
      <c r="B16" s="61"/>
      <c r="C16" s="61"/>
      <c r="D16" s="61"/>
      <c r="E16" s="61"/>
      <c r="F16" s="65" t="str">
        <f>IFERROR(VLOOKUP(E16,'1.IMC Max Count'!$B$10:$E$13,4,FALSE),"")</f>
        <v/>
      </c>
      <c r="G16" s="62"/>
      <c r="H16" s="62"/>
      <c r="I16" s="62"/>
      <c r="J16" s="62"/>
      <c r="K16" s="118" t="s">
        <v>642</v>
      </c>
      <c r="L16" s="64">
        <v>0.2</v>
      </c>
      <c r="M16" s="62"/>
      <c r="N16" s="66" t="str">
        <f t="shared" si="4"/>
        <v/>
      </c>
      <c r="O16" s="66" t="str">
        <f t="shared" si="5"/>
        <v/>
      </c>
      <c r="P16" s="67" t="str">
        <f t="shared" si="0"/>
        <v/>
      </c>
      <c r="Q16" s="66" t="str">
        <f t="shared" si="1"/>
        <v/>
      </c>
      <c r="R16" s="68" t="str">
        <f t="shared" si="2"/>
        <v/>
      </c>
      <c r="S16" s="69" t="s">
        <v>162</v>
      </c>
      <c r="T16" s="69" t="str">
        <f t="shared" si="3"/>
        <v>REVIEW</v>
      </c>
      <c r="U16" s="33"/>
    </row>
    <row r="17" spans="1:21" ht="26.4">
      <c r="A17" s="61" t="s">
        <v>365</v>
      </c>
      <c r="B17" s="61"/>
      <c r="C17" s="61"/>
      <c r="D17" s="61"/>
      <c r="E17" s="61"/>
      <c r="F17" s="65" t="str">
        <f>IFERROR(VLOOKUP(E17,'1.IMC Max Count'!$B$10:$E$13,4,FALSE),"")</f>
        <v/>
      </c>
      <c r="G17" s="62"/>
      <c r="H17" s="62"/>
      <c r="I17" s="62"/>
      <c r="J17" s="62"/>
      <c r="K17" s="118" t="s">
        <v>642</v>
      </c>
      <c r="L17" s="64">
        <v>0.2</v>
      </c>
      <c r="M17" s="62"/>
      <c r="N17" s="66" t="str">
        <f t="shared" si="4"/>
        <v/>
      </c>
      <c r="O17" s="66" t="str">
        <f t="shared" si="5"/>
        <v/>
      </c>
      <c r="P17" s="67" t="str">
        <f t="shared" si="0"/>
        <v/>
      </c>
      <c r="Q17" s="66" t="str">
        <f t="shared" si="1"/>
        <v/>
      </c>
      <c r="R17" s="68" t="str">
        <f t="shared" si="2"/>
        <v/>
      </c>
      <c r="S17" s="69" t="s">
        <v>162</v>
      </c>
      <c r="T17" s="69" t="str">
        <f t="shared" si="3"/>
        <v>REVIEW</v>
      </c>
      <c r="U17" s="33"/>
    </row>
    <row r="18" spans="1:21" ht="26.4">
      <c r="A18" s="61" t="s">
        <v>366</v>
      </c>
      <c r="B18" s="61"/>
      <c r="C18" s="61"/>
      <c r="D18" s="61"/>
      <c r="E18" s="61"/>
      <c r="F18" s="65" t="str">
        <f>IFERROR(VLOOKUP(E18,'1.IMC Max Count'!$B$10:$E$13,4,FALSE),"")</f>
        <v/>
      </c>
      <c r="G18" s="62"/>
      <c r="H18" s="62"/>
      <c r="I18" s="62"/>
      <c r="J18" s="62"/>
      <c r="K18" s="118" t="s">
        <v>642</v>
      </c>
      <c r="L18" s="64">
        <v>0.2</v>
      </c>
      <c r="M18" s="62"/>
      <c r="N18" s="66" t="str">
        <f t="shared" si="4"/>
        <v/>
      </c>
      <c r="O18" s="66" t="str">
        <f t="shared" si="5"/>
        <v/>
      </c>
      <c r="P18" s="67" t="str">
        <f t="shared" si="0"/>
        <v/>
      </c>
      <c r="Q18" s="66" t="str">
        <f t="shared" si="1"/>
        <v/>
      </c>
      <c r="R18" s="68" t="str">
        <f t="shared" si="2"/>
        <v/>
      </c>
      <c r="S18" s="69" t="s">
        <v>162</v>
      </c>
      <c r="T18" s="69" t="str">
        <f t="shared" si="3"/>
        <v>REVIEW</v>
      </c>
      <c r="U18" s="33"/>
    </row>
    <row r="19" spans="1:21" ht="26.4">
      <c r="A19" s="61" t="s">
        <v>367</v>
      </c>
      <c r="B19" s="61"/>
      <c r="C19" s="61"/>
      <c r="D19" s="61"/>
      <c r="E19" s="61"/>
      <c r="F19" s="65" t="str">
        <f>IFERROR(VLOOKUP(E19,'1.IMC Max Count'!$B$10:$E$13,4,FALSE),"")</f>
        <v/>
      </c>
      <c r="G19" s="62"/>
      <c r="H19" s="62"/>
      <c r="I19" s="62"/>
      <c r="J19" s="62"/>
      <c r="K19" s="118" t="s">
        <v>642</v>
      </c>
      <c r="L19" s="64">
        <v>0.2</v>
      </c>
      <c r="M19" s="62"/>
      <c r="N19" s="66" t="str">
        <f t="shared" si="4"/>
        <v/>
      </c>
      <c r="O19" s="66" t="str">
        <f t="shared" si="5"/>
        <v/>
      </c>
      <c r="P19" s="67" t="str">
        <f t="shared" si="0"/>
        <v/>
      </c>
      <c r="Q19" s="66" t="str">
        <f t="shared" si="1"/>
        <v/>
      </c>
      <c r="R19" s="68" t="str">
        <f t="shared" si="2"/>
        <v/>
      </c>
      <c r="S19" s="69" t="s">
        <v>162</v>
      </c>
      <c r="T19" s="69" t="str">
        <f t="shared" si="3"/>
        <v>REVIEW</v>
      </c>
      <c r="U19" s="33"/>
    </row>
    <row r="20" spans="1:21" ht="26.4">
      <c r="A20" s="61" t="s">
        <v>368</v>
      </c>
      <c r="B20" s="61"/>
      <c r="C20" s="61"/>
      <c r="D20" s="61"/>
      <c r="E20" s="61"/>
      <c r="F20" s="65" t="str">
        <f>IFERROR(VLOOKUP(E20,'1.IMC Max Count'!$B$10:$E$13,4,FALSE),"")</f>
        <v/>
      </c>
      <c r="G20" s="62"/>
      <c r="H20" s="62"/>
      <c r="I20" s="62"/>
      <c r="J20" s="62"/>
      <c r="K20" s="118" t="s">
        <v>642</v>
      </c>
      <c r="L20" s="64">
        <v>0.2</v>
      </c>
      <c r="M20" s="62"/>
      <c r="N20" s="66" t="str">
        <f t="shared" si="4"/>
        <v/>
      </c>
      <c r="O20" s="66" t="str">
        <f t="shared" si="5"/>
        <v/>
      </c>
      <c r="P20" s="67" t="str">
        <f t="shared" si="0"/>
        <v/>
      </c>
      <c r="Q20" s="66" t="str">
        <f t="shared" si="1"/>
        <v/>
      </c>
      <c r="R20" s="68" t="str">
        <f t="shared" si="2"/>
        <v/>
      </c>
      <c r="S20" s="69" t="s">
        <v>162</v>
      </c>
      <c r="T20" s="69" t="str">
        <f t="shared" si="3"/>
        <v>REVIEW</v>
      </c>
      <c r="U20" s="33"/>
    </row>
    <row r="21" spans="1:21" ht="26.4">
      <c r="A21" s="61" t="s">
        <v>369</v>
      </c>
      <c r="B21" s="61"/>
      <c r="C21" s="61"/>
      <c r="D21" s="61"/>
      <c r="E21" s="61"/>
      <c r="F21" s="65" t="str">
        <f>IFERROR(VLOOKUP(E21,'1.IMC Max Count'!$B$10:$E$13,4,FALSE),"")</f>
        <v/>
      </c>
      <c r="G21" s="62"/>
      <c r="H21" s="62"/>
      <c r="I21" s="62"/>
      <c r="J21" s="62"/>
      <c r="K21" s="118" t="s">
        <v>642</v>
      </c>
      <c r="L21" s="64">
        <v>0.2</v>
      </c>
      <c r="M21" s="62"/>
      <c r="N21" s="66" t="str">
        <f t="shared" si="4"/>
        <v/>
      </c>
      <c r="O21" s="66" t="str">
        <f t="shared" si="5"/>
        <v/>
      </c>
      <c r="P21" s="67" t="str">
        <f t="shared" si="0"/>
        <v/>
      </c>
      <c r="Q21" s="66" t="str">
        <f t="shared" si="1"/>
        <v/>
      </c>
      <c r="R21" s="68" t="str">
        <f t="shared" si="2"/>
        <v/>
      </c>
      <c r="S21" s="69" t="s">
        <v>162</v>
      </c>
      <c r="T21" s="69" t="str">
        <f t="shared" si="3"/>
        <v>REVIEW</v>
      </c>
      <c r="U21" s="33"/>
    </row>
    <row r="22" spans="1:21" ht="26.4">
      <c r="A22" s="61" t="s">
        <v>370</v>
      </c>
      <c r="B22" s="61"/>
      <c r="C22" s="61"/>
      <c r="D22" s="61"/>
      <c r="E22" s="61"/>
      <c r="F22" s="65" t="str">
        <f>IFERROR(VLOOKUP(E22,'1.IMC Max Count'!$B$10:$E$13,4,FALSE),"")</f>
        <v/>
      </c>
      <c r="G22" s="62"/>
      <c r="H22" s="62"/>
      <c r="I22" s="62"/>
      <c r="J22" s="62"/>
      <c r="K22" s="118" t="s">
        <v>642</v>
      </c>
      <c r="L22" s="64">
        <v>0.2</v>
      </c>
      <c r="M22" s="62"/>
      <c r="N22" s="66" t="str">
        <f t="shared" si="4"/>
        <v/>
      </c>
      <c r="O22" s="66" t="str">
        <f t="shared" si="5"/>
        <v/>
      </c>
      <c r="P22" s="67" t="str">
        <f t="shared" si="0"/>
        <v/>
      </c>
      <c r="Q22" s="66" t="str">
        <f t="shared" si="1"/>
        <v/>
      </c>
      <c r="R22" s="68" t="str">
        <f t="shared" si="2"/>
        <v/>
      </c>
      <c r="S22" s="69" t="s">
        <v>162</v>
      </c>
      <c r="T22" s="69" t="str">
        <f t="shared" si="3"/>
        <v>REVIEW</v>
      </c>
      <c r="U22" s="33"/>
    </row>
    <row r="23" spans="1:21" ht="26.4">
      <c r="A23" s="61" t="s">
        <v>371</v>
      </c>
      <c r="B23" s="61"/>
      <c r="C23" s="61"/>
      <c r="D23" s="61"/>
      <c r="E23" s="61"/>
      <c r="F23" s="65" t="str">
        <f>IFERROR(VLOOKUP(E23,'1.IMC Max Count'!$B$10:$E$13,4,FALSE),"")</f>
        <v/>
      </c>
      <c r="G23" s="62"/>
      <c r="H23" s="62"/>
      <c r="I23" s="62"/>
      <c r="J23" s="62"/>
      <c r="K23" s="118" t="s">
        <v>642</v>
      </c>
      <c r="L23" s="64">
        <v>0.2</v>
      </c>
      <c r="M23" s="62"/>
      <c r="N23" s="66" t="str">
        <f t="shared" si="4"/>
        <v/>
      </c>
      <c r="O23" s="66" t="str">
        <f t="shared" si="5"/>
        <v/>
      </c>
      <c r="P23" s="67" t="str">
        <f t="shared" si="0"/>
        <v/>
      </c>
      <c r="Q23" s="66" t="str">
        <f t="shared" si="1"/>
        <v/>
      </c>
      <c r="R23" s="68" t="str">
        <f t="shared" si="2"/>
        <v/>
      </c>
      <c r="S23" s="69" t="s">
        <v>162</v>
      </c>
      <c r="T23" s="69" t="str">
        <f t="shared" si="3"/>
        <v>REVIEW</v>
      </c>
      <c r="U23" s="33"/>
    </row>
    <row r="24" spans="1:21" ht="26.4">
      <c r="A24" s="61" t="s">
        <v>372</v>
      </c>
      <c r="B24" s="61"/>
      <c r="C24" s="61"/>
      <c r="D24" s="61"/>
      <c r="E24" s="61"/>
      <c r="F24" s="65" t="str">
        <f>IFERROR(VLOOKUP(E24,'1.IMC Max Count'!$B$10:$E$13,4,FALSE),"")</f>
        <v/>
      </c>
      <c r="G24" s="62"/>
      <c r="H24" s="62"/>
      <c r="I24" s="62"/>
      <c r="J24" s="62"/>
      <c r="K24" s="118" t="s">
        <v>642</v>
      </c>
      <c r="L24" s="64">
        <v>0.2</v>
      </c>
      <c r="M24" s="62"/>
      <c r="N24" s="66" t="str">
        <f t="shared" si="4"/>
        <v/>
      </c>
      <c r="O24" s="66" t="str">
        <f t="shared" si="5"/>
        <v/>
      </c>
      <c r="P24" s="67" t="str">
        <f t="shared" si="0"/>
        <v/>
      </c>
      <c r="Q24" s="66" t="str">
        <f t="shared" si="1"/>
        <v/>
      </c>
      <c r="R24" s="68" t="str">
        <f t="shared" si="2"/>
        <v/>
      </c>
      <c r="S24" s="69" t="s">
        <v>162</v>
      </c>
      <c r="T24" s="69" t="str">
        <f t="shared" si="3"/>
        <v>REVIEW</v>
      </c>
      <c r="U24" s="33"/>
    </row>
  </sheetData>
  <mergeCells count="2">
    <mergeCell ref="A1:U1"/>
    <mergeCell ref="A2:U2"/>
  </mergeCells>
  <conditionalFormatting sqref="S5:S24">
    <cfRule type="containsText" dxfId="10" priority="11" operator="containsText" text="CHECK"/>
    <cfRule type="containsText" dxfId="9" priority="12" operator="containsText" text="NOT PERMITTED"/>
  </conditionalFormatting>
  <conditionalFormatting sqref="S5:T24">
    <cfRule type="cellIs" dxfId="8" priority="1" operator="equal">
      <formula>"PASS"</formula>
    </cfRule>
    <cfRule type="cellIs" dxfId="7" priority="2" operator="equal">
      <formula>"FAIL"</formula>
    </cfRule>
    <cfRule type="containsText" dxfId="6" priority="3" operator="containsText" text="PASS"/>
    <cfRule type="containsText" dxfId="5" priority="6" operator="containsText" text="NOT PERMITTED"/>
    <cfRule type="containsText" dxfId="4" priority="13" operator="containsText" text="PASS"/>
    <cfRule type="containsText" dxfId="3" priority="14" operator="containsText" text="FAIL"/>
    <cfRule type="containsText" dxfId="2" priority="15" operator="containsText" text="CHECK"/>
  </conditionalFormatting>
  <conditionalFormatting sqref="T5:T24">
    <cfRule type="containsText" dxfId="1" priority="4" operator="containsText" text="FAIL"/>
    <cfRule type="containsText" dxfId="0" priority="5" operator="containsText" text="CHECK"/>
  </conditionalFormatting>
  <dataValidations count="4">
    <dataValidation type="list" sqref="B5:B24" xr:uid="{00000000-0002-0000-0A00-000000000000}">
      <formula1>"Conduit,Ladder"</formula1>
    </dataValidation>
    <dataValidation type="list" sqref="K5:K24" xr:uid="{00000000-0002-0000-0A00-000001000000}">
      <formula1>"Area"</formula1>
    </dataValidation>
    <dataValidation type="list" sqref="S5:S24" xr:uid="{00000000-0002-0000-0A00-000002000000}">
      <formula1>"OPEN,PASS,FAIL"</formula1>
    </dataValidation>
    <dataValidation type="list" sqref="E5:E24" xr:uid="{00000000-0002-0000-0A00-000003000000}">
      <formula1>"Phelps Dodge H1Z2Z2-K 4 mm²,Phelps Dodge H1Z2Z2-K 6 mm²,Phelps Dodge H1Z2Z2-K 10 mm²,Phelps Dodge H1Z2Z2-K 16 mm²"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9"/>
  <sheetViews>
    <sheetView showGridLines="0" workbookViewId="0"/>
  </sheetViews>
  <sheetFormatPr defaultRowHeight="13.8"/>
  <cols>
    <col min="1" max="1" width="13.09765625" customWidth="1"/>
    <col min="2" max="2" width="19.3984375" customWidth="1"/>
    <col min="3" max="3" width="37.5" customWidth="1"/>
    <col min="4" max="4" width="48.69921875" customWidth="1"/>
    <col min="5" max="5" width="37.5" customWidth="1"/>
    <col min="6" max="6" width="28.69921875" customWidth="1"/>
    <col min="7" max="7" width="50" customWidth="1"/>
    <col min="8" max="8" width="48.69921875" customWidth="1"/>
  </cols>
  <sheetData>
    <row r="1" spans="1:8" ht="30" customHeight="1">
      <c r="A1" s="205" t="s">
        <v>649</v>
      </c>
      <c r="B1" s="205" t="s">
        <v>649</v>
      </c>
      <c r="C1" s="205" t="s">
        <v>649</v>
      </c>
      <c r="D1" s="205" t="s">
        <v>649</v>
      </c>
      <c r="E1" s="205" t="s">
        <v>649</v>
      </c>
      <c r="F1" s="205" t="s">
        <v>649</v>
      </c>
      <c r="G1" s="205" t="s">
        <v>649</v>
      </c>
      <c r="H1" s="205" t="s">
        <v>649</v>
      </c>
    </row>
    <row r="2" spans="1:8">
      <c r="A2" s="2"/>
      <c r="B2" s="2"/>
      <c r="C2" s="2"/>
      <c r="D2" s="2"/>
      <c r="E2" s="2"/>
      <c r="F2" s="2"/>
      <c r="G2" s="2"/>
      <c r="H2" s="2"/>
    </row>
    <row r="3" spans="1:8">
      <c r="A3" s="1" t="s">
        <v>650</v>
      </c>
      <c r="B3" s="1" t="s">
        <v>174</v>
      </c>
      <c r="C3" s="1" t="s">
        <v>651</v>
      </c>
      <c r="D3" s="1" t="s">
        <v>200</v>
      </c>
      <c r="E3" s="1" t="s">
        <v>652</v>
      </c>
      <c r="F3" s="1" t="s">
        <v>653</v>
      </c>
      <c r="G3" s="1" t="s">
        <v>654</v>
      </c>
      <c r="H3" s="1" t="s">
        <v>655</v>
      </c>
    </row>
    <row r="4" spans="1:8" ht="27.6">
      <c r="A4" s="10" t="s">
        <v>656</v>
      </c>
      <c r="B4" s="10" t="s">
        <v>657</v>
      </c>
      <c r="C4" s="10" t="s">
        <v>658</v>
      </c>
      <c r="D4" s="10" t="s">
        <v>659</v>
      </c>
      <c r="E4" s="10" t="s">
        <v>660</v>
      </c>
      <c r="F4" s="10" t="s">
        <v>661</v>
      </c>
      <c r="G4" s="10" t="s">
        <v>662</v>
      </c>
      <c r="H4" s="10" t="s">
        <v>663</v>
      </c>
    </row>
    <row r="5" spans="1:8" ht="27.6">
      <c r="A5" s="10" t="s">
        <v>664</v>
      </c>
      <c r="B5" s="10" t="s">
        <v>189</v>
      </c>
      <c r="C5" s="10" t="s">
        <v>665</v>
      </c>
      <c r="D5" s="10" t="s">
        <v>666</v>
      </c>
      <c r="E5" s="10" t="s">
        <v>667</v>
      </c>
      <c r="F5" s="10" t="s">
        <v>668</v>
      </c>
      <c r="G5" s="10" t="s">
        <v>669</v>
      </c>
      <c r="H5" s="10" t="s">
        <v>670</v>
      </c>
    </row>
    <row r="6" spans="1:8" ht="27.6">
      <c r="A6" s="10" t="s">
        <v>671</v>
      </c>
      <c r="B6" s="10" t="s">
        <v>672</v>
      </c>
      <c r="C6" s="10" t="s">
        <v>673</v>
      </c>
      <c r="D6" s="10" t="s">
        <v>674</v>
      </c>
      <c r="E6" s="10" t="s">
        <v>675</v>
      </c>
      <c r="F6" s="10" t="s">
        <v>676</v>
      </c>
      <c r="G6" s="10" t="s">
        <v>677</v>
      </c>
      <c r="H6" s="10" t="s">
        <v>678</v>
      </c>
    </row>
    <row r="7" spans="1:8" ht="27.6">
      <c r="A7" s="10" t="s">
        <v>679</v>
      </c>
      <c r="B7" s="10" t="s">
        <v>155</v>
      </c>
      <c r="C7" s="10" t="s">
        <v>680</v>
      </c>
      <c r="D7" s="10" t="s">
        <v>681</v>
      </c>
      <c r="E7" s="10" t="s">
        <v>682</v>
      </c>
      <c r="F7" s="10" t="s">
        <v>683</v>
      </c>
      <c r="G7" s="10" t="s">
        <v>684</v>
      </c>
      <c r="H7" s="10" t="s">
        <v>685</v>
      </c>
    </row>
    <row r="8" spans="1:8" ht="27.6">
      <c r="A8" s="10" t="s">
        <v>686</v>
      </c>
      <c r="B8" s="10" t="s">
        <v>687</v>
      </c>
      <c r="C8" s="10" t="s">
        <v>688</v>
      </c>
      <c r="D8" s="10" t="s">
        <v>689</v>
      </c>
      <c r="E8" s="10" t="s">
        <v>690</v>
      </c>
      <c r="F8" s="10" t="s">
        <v>691</v>
      </c>
      <c r="G8" s="10" t="s">
        <v>692</v>
      </c>
      <c r="H8" s="10" t="s">
        <v>693</v>
      </c>
    </row>
    <row r="9" spans="1:8" ht="27.6">
      <c r="A9" s="10" t="s">
        <v>694</v>
      </c>
      <c r="B9" s="10" t="s">
        <v>181</v>
      </c>
      <c r="C9" s="10" t="s">
        <v>695</v>
      </c>
      <c r="D9" s="10" t="s">
        <v>261</v>
      </c>
      <c r="E9" s="10" t="s">
        <v>262</v>
      </c>
      <c r="F9" s="10" t="s">
        <v>696</v>
      </c>
      <c r="G9" s="10" t="s">
        <v>697</v>
      </c>
      <c r="H9" s="10" t="s">
        <v>698</v>
      </c>
    </row>
  </sheetData>
  <mergeCells count="1">
    <mergeCell ref="A1:H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IwNDY0OTNlYS01NjM2LTQwOTMtOWE3YS1mYjNkZmQ0MWQ5NTUiIG9yaWdpbj0idXNlclNlbGVjdGVkIiAvPjxVc2VyTmFtZT5QVFRPUlw2MjAxMTY8L1VzZXJOYW1lPjxEYXRlVGltZT4xMS84LzI1NjkgMDQ6MTk6MTggUE08L0RhdGVUaW1lPjxMYWJlbFN0cmluZz5UaGlzIGl0ZW0gaGFzIG5vIGNsYXNzaWZpY2F0aW9uPC9MYWJlbFN0cmluZz48L2l0ZW0+PGl0ZW0+PHNpc2wgc2lzbFZlcnNpb249IjAiIHBvbGljeT0iMDQ2NDkzZWEtNTYzNi00MDkzLTlhN2EtZmIzZGZkNDFkOTU1IiBvcmlnaW49InVzZXJTZWxlY3RlZCI+PGVsZW1lbnQgdWlkPSJpZF9jbGFzc2lmaWNhdGlvbl9ub25idXNpbmVzcyIgdmFsdWU9IiIgeG1sbnM9Imh0dHA6Ly93d3cuYm9sZG9uamFtZXMuY29tLzIwMDgvMDEvc2llL2ludGVybmFsL2xhYmVsIiAvPjwvc2lzbD48VXNlck5hbWU+UFRUT1JcNjIwMTE2PC9Vc2VyTmFtZT48RGF0ZVRpbWU+MTEvOC8yNTY5IDA0OjIyOjI4IFBNPC9EYXRlVGltZT48TGFiZWxTdHJpbmc+UHVibGljPC9MYWJlbFN0cmluZz48L2l0ZW0+PC9sYWJlbEhpc3Rvcnk+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046493ea-5636-4093-9a7a-fb3dfd41d955" origin="userSelected">
  <element uid="id_classification_nonbusiness" value=""/>
</sisl>
</file>

<file path=customXml/itemProps1.xml><?xml version="1.0" encoding="utf-8"?>
<ds:datastoreItem xmlns:ds="http://schemas.openxmlformats.org/officeDocument/2006/customXml" ds:itemID="{2AF66C6D-9736-4862-B662-1114375136A6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A39ECDC9-7EB3-4F6A-AFFE-14B61927495A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Read Me</vt:lpstr>
      <vt:lpstr>EIT Rules</vt:lpstr>
      <vt:lpstr>Conduit Data</vt:lpstr>
      <vt:lpstr>Ladder Data</vt:lpstr>
      <vt:lpstr>Vendor Register</vt:lpstr>
      <vt:lpstr>Thermal Check (เลือกสาย)</vt:lpstr>
      <vt:lpstr>1.IMC Max Count</vt:lpstr>
      <vt:lpstr>2.Ladder-(AC)</vt:lpstr>
      <vt:lpstr>2.Ladder-Tray-(PV)</vt:lpstr>
      <vt:lpstr>3.PV Wireway</vt:lpstr>
      <vt:lpstr>Fill Check - EIT</vt:lpstr>
      <vt:lpstr>Source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Itthiphan Sakunwanthanasak</cp:lastModifiedBy>
  <dcterms:modified xsi:type="dcterms:W3CDTF">2026-08-27T11:07:19Z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496e9ed7-923b-4538-8555-77d5b282b1f5</vt:lpwstr>
  </property>
  <property fmtid="{D5CDD505-2E9C-101B-9397-08002B2CF9AE}" pid="3" name="bjSaver">
    <vt:lpwstr>CsfFGzPpMAHWeyyFZV9HU7BMIBifnsaW</vt:lpwstr>
  </property>
  <property fmtid="{D5CDD505-2E9C-101B-9397-08002B2CF9AE}" pid="4" name="bjClsUserRVM">
    <vt:lpwstr>[]</vt:lpwstr>
  </property>
  <property fmtid="{D5CDD505-2E9C-101B-9397-08002B2CF9AE}" pid="5" name="bjDocumentLabelXML">
    <vt:lpwstr>&lt;?xml version="1.0" encoding="us-ascii"?&gt;&lt;sisl xmlns:xsd="http://www.w3.org/2001/XMLSchema" xmlns:xsi="http://www.w3.org/2001/XMLSchema-instance" sislVersion="0" policy="046493ea-5636-4093-9a7a-fb3dfd41d955" origin="userSelected" xmlns="http://www.boldonj</vt:lpwstr>
  </property>
  <property fmtid="{D5CDD505-2E9C-101B-9397-08002B2CF9AE}" pid="6" name="bjDocumentLabelXML-0">
    <vt:lpwstr>ames.com/2008/01/sie/internal/label"&gt;&lt;element uid="id_classification_nonbusiness" value="" /&gt;&lt;/sisl&gt;</vt:lpwstr>
  </property>
  <property fmtid="{D5CDD505-2E9C-101B-9397-08002B2CF9AE}" pid="7" name="bjDocumentSecurityLabel">
    <vt:lpwstr>Public</vt:lpwstr>
  </property>
  <property fmtid="{D5CDD505-2E9C-101B-9397-08002B2CF9AE}" pid="8" name="bjLabelHistoryID">
    <vt:lpwstr>{2AF66C6D-9736-4862-B662-1114375136A6}</vt:lpwstr>
  </property>
</Properties>
</file>