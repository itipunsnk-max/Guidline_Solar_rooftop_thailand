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มาตรฐาน/_หนังสือ เกี่ยวกับ EE/__ขั้นตอนการออกแบบ Solar Rooftop-V.1/_1.Guideline Solar Survey/2.Voltage Drop - PV/"/>
    </mc:Choice>
  </mc:AlternateContent>
  <xr:revisionPtr revIDLastSave="0" documentId="13_ncr:20001_{2816C8E1-F0B8-4990-9900-117E710F6063}" xr6:coauthVersionLast="47" xr6:coauthVersionMax="47" xr10:uidLastSave="{00000000-0000-0000-0000-000000000000}"/>
  <bookViews>
    <workbookView xWindow="-120" yWindow="-120" windowWidth="29040" windowHeight="15720" tabRatio="818" activeTab="5" xr2:uid="{00000000-000D-0000-FFFF-FFFF00000000}"/>
  </bookViews>
  <sheets>
    <sheet name="Assumptions &amp; Sources" sheetId="5" r:id="rId1"/>
    <sheet name="Project Cable List" sheetId="4" r:id="rId2"/>
    <sheet name="Panel Datasheet" sheetId="6" r:id="rId3"/>
    <sheet name="Cable Database" sheetId="3" r:id="rId4"/>
    <sheet name="DC Cable Database" sheetId="7" r:id="rId5"/>
    <sheet name="AC Calculator" sheetId="1" r:id="rId6"/>
    <sheet name="AC Quick Reference" sheetId="2" r:id="rId7"/>
    <sheet name="DC Calculator" sheetId="8" r:id="rId8"/>
    <sheet name="DC Quick Reference" sheetId="9" r:id="rId9"/>
    <sheet name="DC Summary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2" l="1"/>
  <c r="M50" i="2"/>
  <c r="K58" i="10"/>
  <c r="J58" i="10"/>
  <c r="I58" i="10"/>
  <c r="H58" i="10"/>
  <c r="C58" i="10"/>
  <c r="B58" i="10"/>
  <c r="G58" i="10" s="1"/>
  <c r="K57" i="10"/>
  <c r="M57" i="10" s="1"/>
  <c r="J57" i="10"/>
  <c r="I57" i="10"/>
  <c r="H57" i="10"/>
  <c r="G57" i="10"/>
  <c r="C57" i="10"/>
  <c r="B57" i="10"/>
  <c r="K56" i="10"/>
  <c r="J56" i="10"/>
  <c r="I56" i="10"/>
  <c r="H56" i="10"/>
  <c r="C56" i="10"/>
  <c r="B56" i="10"/>
  <c r="M55" i="10"/>
  <c r="L55" i="10"/>
  <c r="K55" i="10"/>
  <c r="J55" i="10"/>
  <c r="I55" i="10"/>
  <c r="H55" i="10"/>
  <c r="G55" i="10"/>
  <c r="C55" i="10"/>
  <c r="B55" i="10"/>
  <c r="K54" i="10"/>
  <c r="J54" i="10"/>
  <c r="I54" i="10"/>
  <c r="H54" i="10"/>
  <c r="C54" i="10"/>
  <c r="G54" i="10" s="1"/>
  <c r="B54" i="10"/>
  <c r="K53" i="10"/>
  <c r="J53" i="10"/>
  <c r="I53" i="10"/>
  <c r="H53" i="10"/>
  <c r="C53" i="10"/>
  <c r="B53" i="10"/>
  <c r="G53" i="10" s="1"/>
  <c r="K52" i="10"/>
  <c r="J52" i="10"/>
  <c r="I52" i="10"/>
  <c r="H52" i="10"/>
  <c r="C52" i="10"/>
  <c r="B52" i="10"/>
  <c r="G52" i="10" s="1"/>
  <c r="K51" i="10"/>
  <c r="J51" i="10"/>
  <c r="I51" i="10"/>
  <c r="H51" i="10"/>
  <c r="C51" i="10"/>
  <c r="B51" i="10"/>
  <c r="G51" i="10" s="1"/>
  <c r="K50" i="10"/>
  <c r="M50" i="10" s="1"/>
  <c r="J50" i="10"/>
  <c r="I50" i="10"/>
  <c r="H50" i="10"/>
  <c r="G50" i="10"/>
  <c r="C50" i="10"/>
  <c r="B50" i="10"/>
  <c r="K49" i="10"/>
  <c r="J49" i="10"/>
  <c r="I49" i="10"/>
  <c r="H49" i="10"/>
  <c r="C49" i="10"/>
  <c r="B49" i="10"/>
  <c r="G49" i="10" s="1"/>
  <c r="M48" i="10"/>
  <c r="L48" i="10"/>
  <c r="K48" i="10"/>
  <c r="J48" i="10"/>
  <c r="I48" i="10"/>
  <c r="H48" i="10"/>
  <c r="G48" i="10"/>
  <c r="C48" i="10"/>
  <c r="B48" i="10"/>
  <c r="K47" i="10"/>
  <c r="J47" i="10"/>
  <c r="I47" i="10"/>
  <c r="H47" i="10"/>
  <c r="C47" i="10"/>
  <c r="B47" i="10"/>
  <c r="G47" i="10" s="1"/>
  <c r="K46" i="10"/>
  <c r="J46" i="10"/>
  <c r="I46" i="10"/>
  <c r="H46" i="10"/>
  <c r="C46" i="10"/>
  <c r="B46" i="10"/>
  <c r="G46" i="10" s="1"/>
  <c r="K45" i="10"/>
  <c r="J45" i="10"/>
  <c r="I45" i="10"/>
  <c r="H45" i="10"/>
  <c r="G45" i="10"/>
  <c r="C45" i="10"/>
  <c r="B45" i="10"/>
  <c r="K44" i="10"/>
  <c r="J44" i="10"/>
  <c r="I44" i="10"/>
  <c r="H44" i="10"/>
  <c r="C44" i="10"/>
  <c r="B44" i="10"/>
  <c r="G44" i="10" s="1"/>
  <c r="K43" i="10"/>
  <c r="J43" i="10"/>
  <c r="I43" i="10"/>
  <c r="H43" i="10"/>
  <c r="C43" i="10"/>
  <c r="B43" i="10"/>
  <c r="G43" i="10" s="1"/>
  <c r="K42" i="10"/>
  <c r="J42" i="10"/>
  <c r="I42" i="10"/>
  <c r="H42" i="10"/>
  <c r="C42" i="10"/>
  <c r="B42" i="10"/>
  <c r="G42" i="10" s="1"/>
  <c r="L41" i="10"/>
  <c r="K41" i="10"/>
  <c r="M41" i="10" s="1"/>
  <c r="J41" i="10"/>
  <c r="I41" i="10"/>
  <c r="H41" i="10"/>
  <c r="G41" i="10"/>
  <c r="C41" i="10"/>
  <c r="B41" i="10"/>
  <c r="B36" i="10"/>
  <c r="B30" i="10"/>
  <c r="C23" i="10"/>
  <c r="B23" i="10"/>
  <c r="B22" i="10"/>
  <c r="C22" i="10" s="1"/>
  <c r="B21" i="10"/>
  <c r="I20" i="10"/>
  <c r="C20" i="10"/>
  <c r="B20" i="10"/>
  <c r="B19" i="10"/>
  <c r="F19" i="10" s="1"/>
  <c r="G18" i="10"/>
  <c r="H18" i="10" s="1"/>
  <c r="F18" i="10"/>
  <c r="C18" i="10"/>
  <c r="B18" i="10"/>
  <c r="B17" i="10"/>
  <c r="F17" i="10" s="1"/>
  <c r="F16" i="10"/>
  <c r="C16" i="10"/>
  <c r="B16" i="10"/>
  <c r="C15" i="10"/>
  <c r="B15" i="10"/>
  <c r="B14" i="10"/>
  <c r="C13" i="10"/>
  <c r="B13" i="10"/>
  <c r="B12" i="10"/>
  <c r="F12" i="10" s="1"/>
  <c r="B11" i="10"/>
  <c r="C10" i="10"/>
  <c r="B10" i="10"/>
  <c r="C9" i="10"/>
  <c r="B9" i="10"/>
  <c r="B8" i="10"/>
  <c r="C8" i="10" s="1"/>
  <c r="B7" i="10"/>
  <c r="B6" i="10"/>
  <c r="C6" i="10" s="1"/>
  <c r="K51" i="9"/>
  <c r="J51" i="9"/>
  <c r="F51" i="9"/>
  <c r="E51" i="9"/>
  <c r="I51" i="9" s="1"/>
  <c r="D51" i="9"/>
  <c r="C51" i="9"/>
  <c r="B51" i="9"/>
  <c r="A51" i="9"/>
  <c r="K50" i="9"/>
  <c r="J50" i="9"/>
  <c r="F50" i="9"/>
  <c r="D50" i="9"/>
  <c r="C50" i="9"/>
  <c r="B50" i="9"/>
  <c r="A50" i="9"/>
  <c r="K49" i="9"/>
  <c r="J49" i="9"/>
  <c r="I49" i="9"/>
  <c r="H49" i="9"/>
  <c r="F49" i="9"/>
  <c r="D49" i="9"/>
  <c r="C49" i="9"/>
  <c r="B49" i="9"/>
  <c r="A49" i="9"/>
  <c r="K48" i="9"/>
  <c r="J48" i="9"/>
  <c r="F48" i="9"/>
  <c r="E48" i="9"/>
  <c r="D48" i="9"/>
  <c r="C48" i="9"/>
  <c r="B48" i="9"/>
  <c r="A48" i="9"/>
  <c r="K47" i="9"/>
  <c r="J47" i="9"/>
  <c r="F47" i="9"/>
  <c r="D47" i="9"/>
  <c r="C47" i="9"/>
  <c r="B47" i="9"/>
  <c r="A47" i="9"/>
  <c r="K46" i="9"/>
  <c r="J46" i="9"/>
  <c r="F46" i="9"/>
  <c r="D46" i="9"/>
  <c r="C46" i="9"/>
  <c r="B46" i="9"/>
  <c r="A46" i="9"/>
  <c r="K45" i="9"/>
  <c r="J45" i="9"/>
  <c r="F45" i="9"/>
  <c r="E45" i="9"/>
  <c r="D45" i="9"/>
  <c r="C45" i="9"/>
  <c r="B45" i="9"/>
  <c r="A45" i="9"/>
  <c r="K44" i="9"/>
  <c r="J44" i="9"/>
  <c r="F44" i="9"/>
  <c r="D44" i="9"/>
  <c r="C44" i="9"/>
  <c r="B44" i="9"/>
  <c r="A44" i="9"/>
  <c r="K43" i="9"/>
  <c r="J43" i="9"/>
  <c r="F43" i="9"/>
  <c r="D43" i="9"/>
  <c r="C43" i="9"/>
  <c r="B43" i="9"/>
  <c r="A43" i="9"/>
  <c r="K42" i="9"/>
  <c r="J42" i="9"/>
  <c r="F42" i="9"/>
  <c r="D42" i="9"/>
  <c r="C42" i="9"/>
  <c r="B42" i="9"/>
  <c r="A42" i="9"/>
  <c r="K41" i="9"/>
  <c r="J41" i="9"/>
  <c r="F41" i="9"/>
  <c r="D41" i="9"/>
  <c r="C41" i="9"/>
  <c r="B41" i="9"/>
  <c r="A41" i="9"/>
  <c r="K40" i="9"/>
  <c r="J40" i="9"/>
  <c r="F40" i="9"/>
  <c r="D40" i="9"/>
  <c r="C40" i="9"/>
  <c r="B40" i="9"/>
  <c r="A40" i="9"/>
  <c r="K39" i="9"/>
  <c r="J39" i="9"/>
  <c r="G39" i="9"/>
  <c r="F39" i="9"/>
  <c r="D39" i="9"/>
  <c r="C39" i="9"/>
  <c r="B39" i="9"/>
  <c r="A39" i="9"/>
  <c r="K38" i="9"/>
  <c r="J38" i="9"/>
  <c r="F38" i="9"/>
  <c r="E38" i="9"/>
  <c r="I38" i="9" s="1"/>
  <c r="D38" i="9"/>
  <c r="C38" i="9"/>
  <c r="B38" i="9"/>
  <c r="A38" i="9"/>
  <c r="K37" i="9"/>
  <c r="J37" i="9"/>
  <c r="F37" i="9"/>
  <c r="D37" i="9"/>
  <c r="C37" i="9"/>
  <c r="B37" i="9"/>
  <c r="A37" i="9"/>
  <c r="K36" i="9"/>
  <c r="J36" i="9"/>
  <c r="I36" i="9"/>
  <c r="F36" i="9"/>
  <c r="D36" i="9"/>
  <c r="C36" i="9"/>
  <c r="B36" i="9"/>
  <c r="A36" i="9"/>
  <c r="K35" i="9"/>
  <c r="J35" i="9"/>
  <c r="F35" i="9"/>
  <c r="E35" i="9"/>
  <c r="I35" i="9" s="1"/>
  <c r="D35" i="9"/>
  <c r="C35" i="9"/>
  <c r="B35" i="9"/>
  <c r="A35" i="9"/>
  <c r="K34" i="9"/>
  <c r="J34" i="9"/>
  <c r="F34" i="9"/>
  <c r="D34" i="9"/>
  <c r="C34" i="9"/>
  <c r="B34" i="9"/>
  <c r="A34" i="9"/>
  <c r="K33" i="9"/>
  <c r="J33" i="9"/>
  <c r="F33" i="9"/>
  <c r="D33" i="9"/>
  <c r="C33" i="9"/>
  <c r="B33" i="9"/>
  <c r="A33" i="9"/>
  <c r="K32" i="9"/>
  <c r="J32" i="9"/>
  <c r="F32" i="9"/>
  <c r="E32" i="9"/>
  <c r="D32" i="9"/>
  <c r="C32" i="9"/>
  <c r="B32" i="9"/>
  <c r="A32" i="9"/>
  <c r="K31" i="9"/>
  <c r="J31" i="9"/>
  <c r="F31" i="9"/>
  <c r="D31" i="9"/>
  <c r="C31" i="9"/>
  <c r="B31" i="9"/>
  <c r="A31" i="9"/>
  <c r="K30" i="9"/>
  <c r="J30" i="9"/>
  <c r="F30" i="9"/>
  <c r="D30" i="9"/>
  <c r="C30" i="9"/>
  <c r="B30" i="9"/>
  <c r="A30" i="9"/>
  <c r="K29" i="9"/>
  <c r="J29" i="9"/>
  <c r="F29" i="9"/>
  <c r="E29" i="9"/>
  <c r="D29" i="9"/>
  <c r="C29" i="9"/>
  <c r="B29" i="9"/>
  <c r="A29" i="9"/>
  <c r="K28" i="9"/>
  <c r="J28" i="9"/>
  <c r="F28" i="9"/>
  <c r="D28" i="9"/>
  <c r="C28" i="9"/>
  <c r="B28" i="9"/>
  <c r="A28" i="9"/>
  <c r="K27" i="9"/>
  <c r="J27" i="9"/>
  <c r="F27" i="9"/>
  <c r="D27" i="9"/>
  <c r="C27" i="9"/>
  <c r="B27" i="9"/>
  <c r="A27" i="9"/>
  <c r="K26" i="9"/>
  <c r="J26" i="9"/>
  <c r="F26" i="9"/>
  <c r="D26" i="9"/>
  <c r="C26" i="9"/>
  <c r="B26" i="9"/>
  <c r="A26" i="9"/>
  <c r="K25" i="9"/>
  <c r="J25" i="9"/>
  <c r="F25" i="9"/>
  <c r="D25" i="9"/>
  <c r="C25" i="9"/>
  <c r="B25" i="9"/>
  <c r="A25" i="9"/>
  <c r="K24" i="9"/>
  <c r="J24" i="9"/>
  <c r="F24" i="9"/>
  <c r="D24" i="9"/>
  <c r="C24" i="9"/>
  <c r="B24" i="9"/>
  <c r="A24" i="9"/>
  <c r="K23" i="9"/>
  <c r="J23" i="9"/>
  <c r="F23" i="9"/>
  <c r="D23" i="9"/>
  <c r="C23" i="9"/>
  <c r="B23" i="9"/>
  <c r="A23" i="9"/>
  <c r="E18" i="9"/>
  <c r="D18" i="9"/>
  <c r="C18" i="9"/>
  <c r="B18" i="9"/>
  <c r="E17" i="9"/>
  <c r="C17" i="9"/>
  <c r="B17" i="9"/>
  <c r="E16" i="9"/>
  <c r="C16" i="9"/>
  <c r="B16" i="9"/>
  <c r="E15" i="9"/>
  <c r="C15" i="9"/>
  <c r="B15" i="9"/>
  <c r="E14" i="9"/>
  <c r="C14" i="9"/>
  <c r="B14" i="9"/>
  <c r="F13" i="9"/>
  <c r="E13" i="9"/>
  <c r="D13" i="9"/>
  <c r="C13" i="9"/>
  <c r="B13" i="9"/>
  <c r="K12" i="9"/>
  <c r="J12" i="9"/>
  <c r="B6" i="9"/>
  <c r="B5" i="9"/>
  <c r="B4" i="9"/>
  <c r="E27" i="8"/>
  <c r="E28" i="8" s="1"/>
  <c r="E25" i="8"/>
  <c r="E23" i="8"/>
  <c r="E24" i="8" s="1"/>
  <c r="E9" i="8"/>
  <c r="E13" i="8" s="1"/>
  <c r="E14" i="8" s="1"/>
  <c r="E26" i="8" s="1"/>
  <c r="E8" i="8"/>
  <c r="E11" i="8" s="1"/>
  <c r="I13" i="10" s="1"/>
  <c r="E7" i="8"/>
  <c r="E10" i="8" s="1"/>
  <c r="E12" i="8" s="1"/>
  <c r="E6" i="8"/>
  <c r="E15" i="8" s="1"/>
  <c r="E16" i="8" s="1"/>
  <c r="I67" i="2"/>
  <c r="L67" i="2" s="1"/>
  <c r="G67" i="2"/>
  <c r="H67" i="2" s="1"/>
  <c r="I66" i="2"/>
  <c r="J66" i="2" s="1"/>
  <c r="G66" i="2"/>
  <c r="K66" i="2" s="1"/>
  <c r="I65" i="2"/>
  <c r="L65" i="2" s="1"/>
  <c r="G65" i="2"/>
  <c r="H65" i="2" s="1"/>
  <c r="I64" i="2"/>
  <c r="L64" i="2" s="1"/>
  <c r="G64" i="2"/>
  <c r="K64" i="2" s="1"/>
  <c r="I63" i="2"/>
  <c r="L63" i="2" s="1"/>
  <c r="G63" i="2"/>
  <c r="H63" i="2" s="1"/>
  <c r="I62" i="2"/>
  <c r="L62" i="2" s="1"/>
  <c r="G62" i="2"/>
  <c r="K62" i="2" s="1"/>
  <c r="I61" i="2"/>
  <c r="L61" i="2" s="1"/>
  <c r="G61" i="2"/>
  <c r="H61" i="2" s="1"/>
  <c r="I60" i="2"/>
  <c r="L60" i="2" s="1"/>
  <c r="G60" i="2"/>
  <c r="K60" i="2" s="1"/>
  <c r="I59" i="2"/>
  <c r="L59" i="2" s="1"/>
  <c r="G59" i="2"/>
  <c r="H59" i="2" s="1"/>
  <c r="I58" i="2"/>
  <c r="L58" i="2" s="1"/>
  <c r="G58" i="2"/>
  <c r="K58" i="2" s="1"/>
  <c r="I57" i="2"/>
  <c r="L57" i="2" s="1"/>
  <c r="G57" i="2"/>
  <c r="H57" i="2" s="1"/>
  <c r="I56" i="2"/>
  <c r="L56" i="2" s="1"/>
  <c r="G56" i="2"/>
  <c r="K56" i="2" s="1"/>
  <c r="I55" i="2"/>
  <c r="L55" i="2" s="1"/>
  <c r="G55" i="2"/>
  <c r="H55" i="2" s="1"/>
  <c r="I54" i="2"/>
  <c r="J54" i="2" s="1"/>
  <c r="G54" i="2"/>
  <c r="K54" i="2" s="1"/>
  <c r="B54" i="2"/>
  <c r="M65" i="2" s="1"/>
  <c r="I53" i="2"/>
  <c r="L53" i="2" s="1"/>
  <c r="G53" i="2"/>
  <c r="K53" i="2" s="1"/>
  <c r="I52" i="2"/>
  <c r="G52" i="2"/>
  <c r="K52" i="2" s="1"/>
  <c r="I51" i="2"/>
  <c r="L51" i="2" s="1"/>
  <c r="G51" i="2"/>
  <c r="H51" i="2" s="1"/>
  <c r="I50" i="2"/>
  <c r="G50" i="2"/>
  <c r="K50" i="2" s="1"/>
  <c r="G44" i="2"/>
  <c r="D44" i="2"/>
  <c r="H42" i="2"/>
  <c r="E42" i="2"/>
  <c r="F41" i="2"/>
  <c r="D41" i="2"/>
  <c r="F40" i="2"/>
  <c r="H38" i="2"/>
  <c r="G38" i="2"/>
  <c r="I38" i="2" s="1"/>
  <c r="J38" i="2" s="1"/>
  <c r="F38" i="2"/>
  <c r="E38" i="2"/>
  <c r="D38" i="2"/>
  <c r="E37" i="2"/>
  <c r="D37" i="2"/>
  <c r="G36" i="2"/>
  <c r="F36" i="2"/>
  <c r="E36" i="2"/>
  <c r="I35" i="2"/>
  <c r="J35" i="2" s="1"/>
  <c r="F35" i="2"/>
  <c r="E35" i="2"/>
  <c r="E34" i="2"/>
  <c r="D34" i="2"/>
  <c r="G33" i="2"/>
  <c r="B33" i="2"/>
  <c r="F32" i="2"/>
  <c r="D32" i="2"/>
  <c r="B32" i="2"/>
  <c r="G31" i="2"/>
  <c r="F31" i="2"/>
  <c r="D31" i="2"/>
  <c r="K22" i="2"/>
  <c r="J22" i="2"/>
  <c r="H22" i="2"/>
  <c r="D22" i="2"/>
  <c r="C22" i="2"/>
  <c r="F44" i="2" s="1"/>
  <c r="B22" i="2"/>
  <c r="E44" i="2" s="1"/>
  <c r="A22" i="2"/>
  <c r="E21" i="2"/>
  <c r="H43" i="2" s="1"/>
  <c r="D21" i="2"/>
  <c r="C21" i="2"/>
  <c r="F43" i="2" s="1"/>
  <c r="B21" i="2"/>
  <c r="E43" i="2" s="1"/>
  <c r="A21" i="2"/>
  <c r="D43" i="2" s="1"/>
  <c r="H20" i="2"/>
  <c r="D20" i="2"/>
  <c r="C20" i="2"/>
  <c r="F42" i="2" s="1"/>
  <c r="B20" i="2"/>
  <c r="A20" i="2"/>
  <c r="D42" i="2" s="1"/>
  <c r="K19" i="2"/>
  <c r="J19" i="2"/>
  <c r="I19" i="2"/>
  <c r="H19" i="2"/>
  <c r="G19" i="2"/>
  <c r="D19" i="2"/>
  <c r="G41" i="2" s="1"/>
  <c r="C19" i="2"/>
  <c r="B19" i="2"/>
  <c r="E41" i="2" s="1"/>
  <c r="A19" i="2"/>
  <c r="E18" i="2"/>
  <c r="H40" i="2" s="1"/>
  <c r="D18" i="2"/>
  <c r="G40" i="2" s="1"/>
  <c r="I40" i="2" s="1"/>
  <c r="J40" i="2" s="1"/>
  <c r="C18" i="2"/>
  <c r="B18" i="2"/>
  <c r="E40" i="2" s="1"/>
  <c r="A18" i="2"/>
  <c r="D40" i="2" s="1"/>
  <c r="J17" i="2"/>
  <c r="E17" i="2"/>
  <c r="H39" i="2" s="1"/>
  <c r="D17" i="2"/>
  <c r="H17" i="2" s="1"/>
  <c r="C17" i="2"/>
  <c r="F39" i="2" s="1"/>
  <c r="B17" i="2"/>
  <c r="E39" i="2" s="1"/>
  <c r="A17" i="2"/>
  <c r="D39" i="2" s="1"/>
  <c r="K16" i="2"/>
  <c r="J16" i="2"/>
  <c r="I16" i="2"/>
  <c r="H16" i="2"/>
  <c r="E16" i="2"/>
  <c r="D16" i="2"/>
  <c r="G16" i="2" s="1"/>
  <c r="C16" i="2"/>
  <c r="B16" i="2"/>
  <c r="A16" i="2"/>
  <c r="E15" i="2"/>
  <c r="H37" i="2" s="1"/>
  <c r="D15" i="2"/>
  <c r="C15" i="2"/>
  <c r="F37" i="2" s="1"/>
  <c r="B15" i="2"/>
  <c r="A15" i="2"/>
  <c r="K14" i="2"/>
  <c r="J14" i="2"/>
  <c r="H14" i="2"/>
  <c r="D14" i="2"/>
  <c r="I14" i="2" s="1"/>
  <c r="C14" i="2"/>
  <c r="B14" i="2"/>
  <c r="A14" i="2"/>
  <c r="D36" i="2" s="1"/>
  <c r="K13" i="2"/>
  <c r="J13" i="2"/>
  <c r="I13" i="2"/>
  <c r="H13" i="2"/>
  <c r="F13" i="2"/>
  <c r="E13" i="2"/>
  <c r="H35" i="2" s="1"/>
  <c r="D13" i="2"/>
  <c r="G35" i="2" s="1"/>
  <c r="C13" i="2"/>
  <c r="B13" i="2"/>
  <c r="A13" i="2"/>
  <c r="D35" i="2" s="1"/>
  <c r="E12" i="2"/>
  <c r="H34" i="2" s="1"/>
  <c r="D12" i="2"/>
  <c r="C12" i="2"/>
  <c r="F34" i="2" s="1"/>
  <c r="B12" i="2"/>
  <c r="A12" i="2"/>
  <c r="D11" i="2"/>
  <c r="J11" i="2" s="1"/>
  <c r="C11" i="2"/>
  <c r="F33" i="2" s="1"/>
  <c r="B11" i="2"/>
  <c r="E33" i="2" s="1"/>
  <c r="A11" i="2"/>
  <c r="D33" i="2" s="1"/>
  <c r="K10" i="2"/>
  <c r="J10" i="2"/>
  <c r="D10" i="2"/>
  <c r="G32" i="2" s="1"/>
  <c r="C10" i="2"/>
  <c r="B10" i="2"/>
  <c r="E32" i="2" s="1"/>
  <c r="A10" i="2"/>
  <c r="J9" i="2"/>
  <c r="H9" i="2"/>
  <c r="E9" i="2"/>
  <c r="I9" i="2" s="1"/>
  <c r="D9" i="2"/>
  <c r="K9" i="2" s="1"/>
  <c r="C9" i="2"/>
  <c r="B9" i="2"/>
  <c r="E31" i="2" s="1"/>
  <c r="A9" i="2"/>
  <c r="D8" i="2"/>
  <c r="K8" i="2" s="1"/>
  <c r="C8" i="2"/>
  <c r="F30" i="2" s="1"/>
  <c r="B8" i="2"/>
  <c r="E30" i="2" s="1"/>
  <c r="A8" i="2"/>
  <c r="D30" i="2" s="1"/>
  <c r="E16" i="1"/>
  <c r="E9" i="1"/>
  <c r="E8" i="1"/>
  <c r="E7" i="1"/>
  <c r="E10" i="1" s="1"/>
  <c r="E6" i="1"/>
  <c r="M32" i="7"/>
  <c r="N32" i="7" s="1"/>
  <c r="M31" i="7"/>
  <c r="E50" i="9" s="1"/>
  <c r="N30" i="7"/>
  <c r="M30" i="7"/>
  <c r="E49" i="9" s="1"/>
  <c r="G49" i="9" s="1"/>
  <c r="N29" i="7"/>
  <c r="M29" i="7"/>
  <c r="N28" i="7"/>
  <c r="M28" i="7"/>
  <c r="E47" i="9" s="1"/>
  <c r="M27" i="7"/>
  <c r="N27" i="7" s="1"/>
  <c r="M26" i="7"/>
  <c r="N26" i="7" s="1"/>
  <c r="N25" i="7"/>
  <c r="M25" i="7"/>
  <c r="E44" i="9" s="1"/>
  <c r="M24" i="7"/>
  <c r="E43" i="9" s="1"/>
  <c r="M23" i="7"/>
  <c r="E42" i="9" s="1"/>
  <c r="M22" i="7"/>
  <c r="E41" i="9" s="1"/>
  <c r="N21" i="7"/>
  <c r="M21" i="7"/>
  <c r="E40" i="9" s="1"/>
  <c r="N20" i="7"/>
  <c r="M20" i="7"/>
  <c r="E39" i="9" s="1"/>
  <c r="I39" i="9" s="1"/>
  <c r="M19" i="7"/>
  <c r="N19" i="7" s="1"/>
  <c r="M18" i="7"/>
  <c r="E37" i="9" s="1"/>
  <c r="N17" i="7"/>
  <c r="M17" i="7"/>
  <c r="E36" i="9" s="1"/>
  <c r="H36" i="9" s="1"/>
  <c r="M16" i="7"/>
  <c r="N16" i="7" s="1"/>
  <c r="M15" i="7"/>
  <c r="E34" i="9" s="1"/>
  <c r="M14" i="7"/>
  <c r="E33" i="9" s="1"/>
  <c r="G33" i="9" s="1"/>
  <c r="N13" i="7"/>
  <c r="M13" i="7"/>
  <c r="N12" i="7"/>
  <c r="M12" i="7"/>
  <c r="E31" i="9" s="1"/>
  <c r="M11" i="7"/>
  <c r="N11" i="7" s="1"/>
  <c r="M10" i="7"/>
  <c r="N10" i="7" s="1"/>
  <c r="N9" i="7"/>
  <c r="M9" i="7"/>
  <c r="E28" i="9" s="1"/>
  <c r="M8" i="7"/>
  <c r="E27" i="9" s="1"/>
  <c r="M7" i="7"/>
  <c r="D15" i="9" s="1"/>
  <c r="M6" i="7"/>
  <c r="N6" i="7" s="1"/>
  <c r="N5" i="7"/>
  <c r="M5" i="7"/>
  <c r="E24" i="9" s="1"/>
  <c r="N4" i="7"/>
  <c r="M4" i="7"/>
  <c r="E23" i="9" s="1"/>
  <c r="I23" i="9" s="1"/>
  <c r="M2" i="7"/>
  <c r="H18" i="3"/>
  <c r="E22" i="2" s="1"/>
  <c r="H44" i="2" s="1"/>
  <c r="F18" i="3"/>
  <c r="G18" i="3" s="1"/>
  <c r="H17" i="3"/>
  <c r="F17" i="3"/>
  <c r="G17" i="3" s="1"/>
  <c r="H16" i="3"/>
  <c r="E20" i="2" s="1"/>
  <c r="F16" i="3"/>
  <c r="G16" i="3" s="1"/>
  <c r="H15" i="3"/>
  <c r="E19" i="2" s="1"/>
  <c r="H41" i="2" s="1"/>
  <c r="G15" i="3"/>
  <c r="F15" i="3"/>
  <c r="H14" i="3"/>
  <c r="G14" i="3"/>
  <c r="F14" i="3"/>
  <c r="H13" i="3"/>
  <c r="G13" i="3"/>
  <c r="F13" i="3"/>
  <c r="H12" i="3"/>
  <c r="G12" i="3"/>
  <c r="F12" i="3"/>
  <c r="H11" i="3"/>
  <c r="F11" i="3"/>
  <c r="G11" i="3" s="1"/>
  <c r="H10" i="3"/>
  <c r="E14" i="2" s="1"/>
  <c r="G10" i="3"/>
  <c r="F10" i="3"/>
  <c r="H9" i="3"/>
  <c r="F9" i="3"/>
  <c r="G9" i="3" s="1"/>
  <c r="H8" i="3"/>
  <c r="F8" i="3"/>
  <c r="G8" i="3" s="1"/>
  <c r="H7" i="3"/>
  <c r="E11" i="2" s="1"/>
  <c r="H33" i="2" s="1"/>
  <c r="F7" i="3"/>
  <c r="G7" i="3" s="1"/>
  <c r="H6" i="3"/>
  <c r="E10" i="2" s="1"/>
  <c r="F6" i="3"/>
  <c r="G6" i="3" s="1"/>
  <c r="H5" i="3"/>
  <c r="G5" i="3"/>
  <c r="F5" i="3"/>
  <c r="H4" i="3"/>
  <c r="E8" i="2" s="1"/>
  <c r="H30" i="2" s="1"/>
  <c r="G4" i="3"/>
  <c r="F4" i="3"/>
  <c r="K51" i="2" l="1"/>
  <c r="J61" i="2"/>
  <c r="J57" i="2"/>
  <c r="J53" i="2"/>
  <c r="J67" i="2"/>
  <c r="J51" i="2"/>
  <c r="J55" i="2"/>
  <c r="J65" i="2"/>
  <c r="J63" i="2"/>
  <c r="H53" i="2"/>
  <c r="J59" i="2"/>
  <c r="I33" i="2"/>
  <c r="J33" i="2" s="1"/>
  <c r="M47" i="10"/>
  <c r="L47" i="10"/>
  <c r="I42" i="9"/>
  <c r="H42" i="9"/>
  <c r="G42" i="9"/>
  <c r="M54" i="10"/>
  <c r="L54" i="10"/>
  <c r="H66" i="2"/>
  <c r="M43" i="10"/>
  <c r="L43" i="10"/>
  <c r="L45" i="10"/>
  <c r="M45" i="10"/>
  <c r="N22" i="7"/>
  <c r="H12" i="2"/>
  <c r="G34" i="2"/>
  <c r="K12" i="2"/>
  <c r="J12" i="2"/>
  <c r="I12" i="2"/>
  <c r="K21" i="2"/>
  <c r="J21" i="2"/>
  <c r="I21" i="2"/>
  <c r="H21" i="2"/>
  <c r="F21" i="2"/>
  <c r="G43" i="2"/>
  <c r="G21" i="2"/>
  <c r="G11" i="10"/>
  <c r="H11" i="10" s="1"/>
  <c r="N51" i="2"/>
  <c r="M46" i="10"/>
  <c r="L46" i="10"/>
  <c r="I30" i="2"/>
  <c r="J30" i="2" s="1"/>
  <c r="J52" i="2"/>
  <c r="L52" i="2"/>
  <c r="N55" i="2"/>
  <c r="N59" i="2"/>
  <c r="N63" i="2"/>
  <c r="N67" i="2"/>
  <c r="I33" i="9"/>
  <c r="F22" i="2"/>
  <c r="G23" i="9"/>
  <c r="H39" i="9"/>
  <c r="J6" i="10"/>
  <c r="F20" i="10"/>
  <c r="I31" i="9"/>
  <c r="H31" i="9"/>
  <c r="G31" i="9"/>
  <c r="I41" i="9"/>
  <c r="H41" i="9"/>
  <c r="G41" i="9"/>
  <c r="F9" i="2"/>
  <c r="H58" i="2"/>
  <c r="H32" i="2"/>
  <c r="G10" i="2"/>
  <c r="F10" i="2"/>
  <c r="I45" i="9"/>
  <c r="H45" i="9"/>
  <c r="G45" i="9"/>
  <c r="N14" i="7"/>
  <c r="D14" i="9"/>
  <c r="E25" i="9"/>
  <c r="N15" i="7"/>
  <c r="J15" i="9"/>
  <c r="I15" i="9"/>
  <c r="H15" i="9"/>
  <c r="G15" i="9"/>
  <c r="F15" i="9"/>
  <c r="K15" i="9"/>
  <c r="G22" i="2"/>
  <c r="H56" i="2"/>
  <c r="H60" i="2"/>
  <c r="H64" i="2"/>
  <c r="G13" i="9"/>
  <c r="K13" i="9"/>
  <c r="J13" i="9"/>
  <c r="I13" i="9"/>
  <c r="H13" i="9"/>
  <c r="H23" i="9"/>
  <c r="F7" i="10"/>
  <c r="M44" i="10"/>
  <c r="L44" i="10"/>
  <c r="L50" i="10"/>
  <c r="L57" i="10"/>
  <c r="I11" i="10"/>
  <c r="N7" i="7"/>
  <c r="I47" i="9"/>
  <c r="H47" i="9"/>
  <c r="G47" i="9"/>
  <c r="H15" i="2"/>
  <c r="K15" i="2"/>
  <c r="J15" i="2"/>
  <c r="G15" i="2"/>
  <c r="I15" i="2"/>
  <c r="G37" i="2"/>
  <c r="J19" i="10"/>
  <c r="F15" i="10"/>
  <c r="I10" i="10"/>
  <c r="G8" i="10"/>
  <c r="H8" i="10" s="1"/>
  <c r="I19" i="10"/>
  <c r="G17" i="10"/>
  <c r="H17" i="10" s="1"/>
  <c r="J12" i="10"/>
  <c r="F8" i="10"/>
  <c r="J9" i="10"/>
  <c r="J21" i="10"/>
  <c r="I12" i="10"/>
  <c r="G10" i="10"/>
  <c r="H10" i="10" s="1"/>
  <c r="I21" i="10"/>
  <c r="G19" i="10"/>
  <c r="H19" i="10" s="1"/>
  <c r="J14" i="10"/>
  <c r="F10" i="10"/>
  <c r="J23" i="10"/>
  <c r="I14" i="10"/>
  <c r="G12" i="10"/>
  <c r="H12" i="10" s="1"/>
  <c r="J7" i="10"/>
  <c r="I23" i="10"/>
  <c r="G21" i="10"/>
  <c r="H21" i="10" s="1"/>
  <c r="J16" i="10"/>
  <c r="I7" i="10"/>
  <c r="G14" i="10"/>
  <c r="H14" i="10" s="1"/>
  <c r="I22" i="10"/>
  <c r="G20" i="10"/>
  <c r="H20" i="10" s="1"/>
  <c r="J15" i="10"/>
  <c r="I6" i="10"/>
  <c r="E19" i="8"/>
  <c r="E20" i="8" s="1"/>
  <c r="E17" i="8"/>
  <c r="E18" i="8" s="1"/>
  <c r="E29" i="8" s="1"/>
  <c r="J18" i="10"/>
  <c r="I9" i="10"/>
  <c r="G7" i="10"/>
  <c r="H7" i="10" s="1"/>
  <c r="I18" i="10"/>
  <c r="G16" i="10"/>
  <c r="H16" i="10" s="1"/>
  <c r="J11" i="10"/>
  <c r="I15" i="10"/>
  <c r="G13" i="10"/>
  <c r="H13" i="10" s="1"/>
  <c r="J8" i="10"/>
  <c r="G22" i="10"/>
  <c r="H22" i="10" s="1"/>
  <c r="J17" i="10"/>
  <c r="F13" i="10"/>
  <c r="I8" i="10"/>
  <c r="G6" i="10"/>
  <c r="H6" i="10" s="1"/>
  <c r="G23" i="10"/>
  <c r="H23" i="10" s="1"/>
  <c r="F22" i="10"/>
  <c r="I17" i="10"/>
  <c r="G15" i="10"/>
  <c r="H15" i="10" s="1"/>
  <c r="J10" i="10"/>
  <c r="F6" i="10"/>
  <c r="I16" i="10"/>
  <c r="C7" i="10"/>
  <c r="J13" i="10"/>
  <c r="L51" i="10"/>
  <c r="M51" i="10"/>
  <c r="H50" i="9"/>
  <c r="G50" i="9"/>
  <c r="I50" i="9"/>
  <c r="G12" i="2"/>
  <c r="H34" i="9"/>
  <c r="G34" i="9"/>
  <c r="I34" i="9"/>
  <c r="G37" i="9"/>
  <c r="I37" i="9"/>
  <c r="H37" i="9"/>
  <c r="I48" i="9"/>
  <c r="H48" i="9"/>
  <c r="G48" i="9"/>
  <c r="F14" i="10"/>
  <c r="C14" i="10"/>
  <c r="M58" i="10"/>
  <c r="L58" i="10"/>
  <c r="F11" i="10"/>
  <c r="N23" i="7"/>
  <c r="I24" i="9"/>
  <c r="H24" i="9"/>
  <c r="G24" i="9"/>
  <c r="I43" i="9"/>
  <c r="H43" i="9"/>
  <c r="G43" i="9"/>
  <c r="I36" i="2"/>
  <c r="J36" i="2" s="1"/>
  <c r="I44" i="9"/>
  <c r="H44" i="9"/>
  <c r="G44" i="9"/>
  <c r="E11" i="1"/>
  <c r="E12" i="1" s="1"/>
  <c r="E13" i="1" s="1"/>
  <c r="H52" i="2"/>
  <c r="M55" i="2"/>
  <c r="M59" i="2"/>
  <c r="M63" i="2"/>
  <c r="M67" i="2"/>
  <c r="I29" i="9"/>
  <c r="H29" i="9"/>
  <c r="G29" i="9"/>
  <c r="H33" i="9"/>
  <c r="G14" i="2"/>
  <c r="F14" i="2"/>
  <c r="H36" i="2"/>
  <c r="I28" i="9"/>
  <c r="H28" i="9"/>
  <c r="G28" i="9"/>
  <c r="F15" i="2"/>
  <c r="H50" i="2"/>
  <c r="J20" i="10"/>
  <c r="M49" i="10"/>
  <c r="L49" i="10"/>
  <c r="G56" i="10"/>
  <c r="N31" i="7"/>
  <c r="H31" i="2"/>
  <c r="I31" i="2" s="1"/>
  <c r="J31" i="2" s="1"/>
  <c r="H62" i="2"/>
  <c r="F12" i="2"/>
  <c r="L53" i="10"/>
  <c r="M53" i="10"/>
  <c r="F20" i="2"/>
  <c r="I20" i="2"/>
  <c r="G20" i="2"/>
  <c r="J50" i="2"/>
  <c r="L50" i="2"/>
  <c r="E21" i="8"/>
  <c r="E22" i="8" s="1"/>
  <c r="I32" i="9"/>
  <c r="H32" i="9"/>
  <c r="G32" i="9"/>
  <c r="F21" i="10"/>
  <c r="M42" i="10"/>
  <c r="L42" i="10"/>
  <c r="K18" i="9"/>
  <c r="J18" i="9"/>
  <c r="I18" i="9"/>
  <c r="H18" i="9"/>
  <c r="G18" i="9"/>
  <c r="F18" i="9"/>
  <c r="I27" i="9"/>
  <c r="H27" i="9"/>
  <c r="G27" i="9"/>
  <c r="I22" i="2"/>
  <c r="N53" i="2"/>
  <c r="M57" i="2"/>
  <c r="M61" i="2"/>
  <c r="G36" i="9"/>
  <c r="F9" i="10"/>
  <c r="H54" i="2"/>
  <c r="G9" i="2"/>
  <c r="I40" i="9"/>
  <c r="H40" i="9"/>
  <c r="G40" i="9"/>
  <c r="F18" i="2"/>
  <c r="K18" i="2"/>
  <c r="J18" i="2"/>
  <c r="I18" i="2"/>
  <c r="H18" i="2"/>
  <c r="G18" i="2"/>
  <c r="N66" i="2"/>
  <c r="N64" i="2"/>
  <c r="N62" i="2"/>
  <c r="N60" i="2"/>
  <c r="N58" i="2"/>
  <c r="N56" i="2"/>
  <c r="N54" i="2"/>
  <c r="M66" i="2"/>
  <c r="M64" i="2"/>
  <c r="M62" i="2"/>
  <c r="M60" i="2"/>
  <c r="M58" i="2"/>
  <c r="M56" i="2"/>
  <c r="M54" i="2"/>
  <c r="N52" i="2"/>
  <c r="N50" i="2"/>
  <c r="M52" i="2"/>
  <c r="M53" i="2"/>
  <c r="M51" i="2"/>
  <c r="N57" i="2"/>
  <c r="N61" i="2"/>
  <c r="N65" i="2"/>
  <c r="E26" i="9"/>
  <c r="G9" i="10"/>
  <c r="H9" i="10" s="1"/>
  <c r="J22" i="10"/>
  <c r="F23" i="10"/>
  <c r="L52" i="10"/>
  <c r="M52" i="10"/>
  <c r="J60" i="2"/>
  <c r="K11" i="2"/>
  <c r="I17" i="2"/>
  <c r="E30" i="9"/>
  <c r="E46" i="9"/>
  <c r="J64" i="2"/>
  <c r="E14" i="1"/>
  <c r="E15" i="1" s="1"/>
  <c r="H10" i="2"/>
  <c r="G13" i="2"/>
  <c r="F16" i="2"/>
  <c r="K17" i="2"/>
  <c r="J20" i="2"/>
  <c r="I37" i="2"/>
  <c r="J37" i="2" s="1"/>
  <c r="K55" i="2"/>
  <c r="K57" i="2"/>
  <c r="K59" i="2"/>
  <c r="K61" i="2"/>
  <c r="K63" i="2"/>
  <c r="K65" i="2"/>
  <c r="K67" i="2"/>
  <c r="C11" i="10"/>
  <c r="C21" i="10"/>
  <c r="J58" i="2"/>
  <c r="G35" i="9"/>
  <c r="I10" i="2"/>
  <c r="F19" i="2"/>
  <c r="K20" i="2"/>
  <c r="G42" i="2"/>
  <c r="I42" i="2" s="1"/>
  <c r="J42" i="2" s="1"/>
  <c r="I44" i="2"/>
  <c r="J44" i="2" s="1"/>
  <c r="D16" i="9"/>
  <c r="G51" i="9"/>
  <c r="C12" i="10"/>
  <c r="F8" i="2"/>
  <c r="H35" i="9"/>
  <c r="G38" i="9"/>
  <c r="H51" i="9"/>
  <c r="C19" i="10"/>
  <c r="H38" i="9"/>
  <c r="J62" i="2"/>
  <c r="L54" i="2"/>
  <c r="L66" i="2"/>
  <c r="H8" i="2"/>
  <c r="G11" i="2"/>
  <c r="I43" i="2"/>
  <c r="J43" i="2" s="1"/>
  <c r="C17" i="10"/>
  <c r="N24" i="7"/>
  <c r="J56" i="2"/>
  <c r="G8" i="2"/>
  <c r="F11" i="2"/>
  <c r="N18" i="7"/>
  <c r="I8" i="2"/>
  <c r="H11" i="2"/>
  <c r="F17" i="2"/>
  <c r="G30" i="2"/>
  <c r="I34" i="2"/>
  <c r="J34" i="2" s="1"/>
  <c r="D17" i="9"/>
  <c r="G17" i="2"/>
  <c r="N8" i="7"/>
  <c r="J8" i="2"/>
  <c r="I11" i="2"/>
  <c r="I32" i="2"/>
  <c r="J32" i="2" s="1"/>
  <c r="G39" i="2"/>
  <c r="I39" i="2" s="1"/>
  <c r="J39" i="2" s="1"/>
  <c r="I41" i="2"/>
  <c r="J41" i="2" s="1"/>
  <c r="H14" i="9" l="1"/>
  <c r="F14" i="9"/>
  <c r="G14" i="9"/>
  <c r="I14" i="9"/>
  <c r="K14" i="9"/>
  <c r="J14" i="9"/>
  <c r="F17" i="9"/>
  <c r="J17" i="9"/>
  <c r="I17" i="9"/>
  <c r="H17" i="9"/>
  <c r="G17" i="9"/>
  <c r="K17" i="9"/>
  <c r="I26" i="9"/>
  <c r="H26" i="9"/>
  <c r="G26" i="9"/>
  <c r="I25" i="9"/>
  <c r="H25" i="9"/>
  <c r="G25" i="9"/>
  <c r="H30" i="9"/>
  <c r="G30" i="9"/>
  <c r="I30" i="9"/>
  <c r="M56" i="10"/>
  <c r="L56" i="10"/>
  <c r="H46" i="9"/>
  <c r="G46" i="9"/>
  <c r="I46" i="9"/>
  <c r="I16" i="9"/>
  <c r="K16" i="9"/>
  <c r="J16" i="9"/>
  <c r="H16" i="9"/>
  <c r="G16" i="9"/>
  <c r="F16" i="9"/>
</calcChain>
</file>

<file path=xl/sharedStrings.xml><?xml version="1.0" encoding="utf-8"?>
<sst xmlns="http://schemas.openxmlformats.org/spreadsheetml/2006/main" count="950" uniqueCount="373">
  <si>
    <t>CV Low-Voltage Voltage-Drop Tool | Assumptions &amp; Sources</t>
  </si>
  <si>
    <t>Parameter</t>
  </si>
  <si>
    <t>Value</t>
  </si>
  <si>
    <t>Copper temperature coefficient, α (1/°C)</t>
  </si>
  <si>
    <t>Default conductor operating temperature (°C)</t>
  </si>
  <si>
    <t>Default voltage-drop limit</t>
  </si>
  <si>
    <t>Default reactance, X (Ω/km)</t>
  </si>
  <si>
    <t>Reference temperature for Rdc (°C)</t>
  </si>
  <si>
    <t>Source / method</t>
  </si>
  <si>
    <t>Reference</t>
  </si>
  <si>
    <t>How used</t>
  </si>
  <si>
    <t>Important limitation</t>
  </si>
  <si>
    <t>Project source</t>
  </si>
  <si>
    <t>สาย CV ที่ใช้ในโครงการ.xlsx</t>
  </si>
  <si>
    <t>Selects the project CV cable types included in this tool.</t>
  </si>
  <si>
    <t>The source contains cable descriptions only; it does not include electrical impedance data.</t>
  </si>
  <si>
    <t>Manufacturer construction</t>
  </si>
  <si>
    <t>https://www.pdcable.com/en/product-en/building-and-construction/cv-1-2/</t>
  </si>
  <si>
    <t>Confirms Phelps Dodge CV is 0.6/1 kV Cu/XLPE/PVC, IEC 60502-1, 1C/2C/3C/4C/5C.</t>
  </si>
  <si>
    <t>Verify final catalogue/test values for the exact part number and installation arrangement.</t>
  </si>
  <si>
    <t>Conductor Rdc</t>
  </si>
  <si>
    <t>IEC 60228 Class 2 maximum DC resistance at 20°C</t>
  </si>
  <si>
    <t>R20 is an editable design input; Rθ = R20 × [1 + α × (θ−20)].</t>
  </si>
  <si>
    <t>Values are conservative maximum conductor resistance, not a manufacturer AC-impedance certificate.</t>
  </si>
  <si>
    <t>Voltage-drop method</t>
  </si>
  <si>
    <t>IEC-style AC phasor approximation</t>
  </si>
  <si>
    <t>3Φ: √3·I·L·(Rcosφ+Xsinφ); 1Φ/DC 2-wire: 2·I·L·(Rcosφ+Xsinφ).</t>
  </si>
  <si>
    <t>X and temperature must be checked against actual installation, grouping, spacing and cable formation.</t>
  </si>
  <si>
    <t>Use / design note</t>
  </si>
  <si>
    <t>This workbook checks voltage drop only. Confirm ampacity, derating, protective-device coordination, short-circuit withstand, earthing/PE conductor, installation method and applicable EIT / owner requirements separately before construction.</t>
  </si>
  <si>
    <t>Length is one-way route length. For 1Φ and DC 2-wire, the formula already includes the return conductor factor (2).</t>
  </si>
  <si>
    <t>DC assumptions</t>
  </si>
  <si>
    <t>Unit / method</t>
  </si>
  <si>
    <t>Note</t>
  </si>
  <si>
    <t>Copper temperature coefficient, αCu</t>
  </si>
  <si>
    <t>1/°C</t>
  </si>
  <si>
    <t>Used to adjust Rdc from 20°C to selected operating temperature.</t>
  </si>
  <si>
    <t>DC default operating conductor temperature</t>
  </si>
  <si>
    <t>°C</t>
  </si>
  <si>
    <t>Editable in DC Calculator; datasheets allow 120°C for limited duration, but 90°C is the default design point.</t>
  </si>
  <si>
    <t>DC default Voltage Drop target</t>
  </si>
  <si>
    <t>%</t>
  </si>
  <si>
    <t>Editable in DC Calculator; common reference target for PV string cable.</t>
  </si>
  <si>
    <t>DC design minimum cell temperature</t>
  </si>
  <si>
    <t>Editable design assumption used for cold Voc check; confirm project climate and inverter design basis.</t>
  </si>
  <si>
    <t>Default inverter maximum DC input voltage</t>
  </si>
  <si>
    <t>V DC</t>
  </si>
  <si>
    <t>Editable design assumption; replace with the selected inverter datasheet value.</t>
  </si>
  <si>
    <t>DC source / method</t>
  </si>
  <si>
    <t>PV module datasheet</t>
  </si>
  <si>
    <t>3.2.panel_datasheet_JKM700-725N-66HL5-BDV-Z2C2-OC.pdf</t>
  </si>
  <si>
    <t>Uses the 725 Wp STC row: Vmp 41.00 V, Imp 17.69 A, Voc 49.20 V, Isc 18.74 A and temperature coefficients.</t>
  </si>
  <si>
    <t>Confirm the final procurement module and any bifacial design gain separately.</t>
  </si>
  <si>
    <t>Phelps Dodge PV cable</t>
  </si>
  <si>
    <t>Phelps_Dodge_PV_Cable_H1Z2Z2-K_Datasheet.pdf</t>
  </si>
  <si>
    <t>Uses Rdc at 20°C, current-carrying capacities and manufacturer datasheet voltage-drop column where provided.</t>
  </si>
  <si>
    <t>Verify exact cable construction, installation arrangement, derating and current-carrying method.</t>
  </si>
  <si>
    <t>Bangkok Cable PV cable</t>
  </si>
  <si>
    <t>Bangkok_Cable_H1Z2Z2-K_PV_Cable_Datasheet.pdf</t>
  </si>
  <si>
    <t>Uses Rdc at 20°C and current-carrying capacities from the attached table; operating-temperature VD is formula-calculated.</t>
  </si>
  <si>
    <t>The attached table does not provide a separate voltage-drop column; confirm final catalogue values if required.</t>
  </si>
  <si>
    <t>DC voltage-drop method</t>
  </si>
  <si>
    <t>2-wire DC; Rθ = R20 × [1 + α × (T−20)]</t>
  </si>
  <si>
    <t>ΔV = 2 × I × L × Rθ / 1000; Power loss = I² × loop resistance; L is one-way.</t>
  </si>
  <si>
    <t>Voltage Drop does not replace ampacity/derating, protection, connector, short-circuit or inverter checks.</t>
  </si>
  <si>
    <t>Project Cable List | Extracted Low Voltage CV items</t>
  </si>
  <si>
    <t>Cable ID used in tool</t>
  </si>
  <si>
    <t>Original-style source description</t>
  </si>
  <si>
    <t>Classification</t>
  </si>
  <si>
    <t>Included?</t>
  </si>
  <si>
    <t>CV-FD 4C 10</t>
  </si>
  <si>
    <t>AC Cable (FD-0.6/1KV-CV 4C) 4C 10 sq.mm.</t>
  </si>
  <si>
    <t>Low voltage 0.6/1 kV CV</t>
  </si>
  <si>
    <t>Yes</t>
  </si>
  <si>
    <t>CV-FD 1C 16</t>
  </si>
  <si>
    <t>AC Cable (FD-0.6/1KV-CV 1C) 1C 16 sq.mm.</t>
  </si>
  <si>
    <t>CV-FD 4C 16</t>
  </si>
  <si>
    <t>AC Cable (FD-0.6/1KV-CV 4C) 4C 16 sq.mm.</t>
  </si>
  <si>
    <t>CV-FD 1C 25</t>
  </si>
  <si>
    <t>AC Cable (FD-0.6/1KV-CV 1C) 1C 25 sq.mm.</t>
  </si>
  <si>
    <t>CV-FD 4C 25</t>
  </si>
  <si>
    <t>AC Cable (FD-0.6/1KV-CV 4C) 4C 25 sq.mm.</t>
  </si>
  <si>
    <t>CV-FD 1C 35</t>
  </si>
  <si>
    <t>AC Cable (FD-0.6/1KV-CV 1C) 1C 35 sq.mm.</t>
  </si>
  <si>
    <t>CV-FD 4C 35</t>
  </si>
  <si>
    <t>AC Cable (FD-0.6/1KV-CV 4C) 4C 35 sq.mm.</t>
  </si>
  <si>
    <t>CV-FD 1C 50</t>
  </si>
  <si>
    <t>AC Cable (FD-0.6/1KV-CV 1C) 1C 50 sq.mm.</t>
  </si>
  <si>
    <t>CV-FD 1C 70</t>
  </si>
  <si>
    <t>AC Cable (FD-0.6/1KV-CV 1C) 1C 70 sq.mm.</t>
  </si>
  <si>
    <t>CV-FD 4C 70</t>
  </si>
  <si>
    <t>AC Cable (FD-0.6/1KV-CV 4C) 4C 70 sq.mm.</t>
  </si>
  <si>
    <t>CV-FD 1C 95</t>
  </si>
  <si>
    <t>AC Cable (FD-0.6/1KV-CV 1C) 1C 95 sq.mm.</t>
  </si>
  <si>
    <t>CV-FD 1C 120</t>
  </si>
  <si>
    <t>AC Cable (FD-0.6/1KV-CV 1C) 1C 120 sq.mm.</t>
  </si>
  <si>
    <t>CV-FD 1C 150</t>
  </si>
  <si>
    <t>AC Cable (FD-0.6/1KV-CV 1C) 1C 150 sq.mm.</t>
  </si>
  <si>
    <t>CV-FD 1C 185</t>
  </si>
  <si>
    <t>AC Cable (FD-0.6/1KV-CV 1C) 1C 185 sq.mm.</t>
  </si>
  <si>
    <t>CV-FD 1C 240</t>
  </si>
  <si>
    <t>AC Cable (FD-0.6/1KV-CV 1C) 1C 240 sq.mm.</t>
  </si>
  <si>
    <t>PV Module Datasheet | Jinko JKM700-725N-66HL5-BDV-Z2C2-OC | Selected 725 Wp</t>
  </si>
  <si>
    <t>Selected module characteristics (STC)</t>
  </si>
  <si>
    <t>Electrical performance table from datasheet | STC</t>
  </si>
  <si>
    <t>Model</t>
  </si>
  <si>
    <t>JKM700-725N-66HL5-BDV-Z2C2-OC</t>
  </si>
  <si>
    <t>Pmax (Wp)</t>
  </si>
  <si>
    <t>Vmp (V)</t>
  </si>
  <si>
    <t>Imp (A)</t>
  </si>
  <si>
    <t>Voc (V)</t>
  </si>
  <si>
    <t>Isc (A)</t>
  </si>
  <si>
    <t>Efficiency</t>
  </si>
  <si>
    <t>Selection</t>
  </si>
  <si>
    <t>Selected Pmax (Wp)</t>
  </si>
  <si>
    <t>Vmp at STC (V)</t>
  </si>
  <si>
    <t>Imp at STC (A)</t>
  </si>
  <si>
    <t>Voc at STC (V)</t>
  </si>
  <si>
    <t>Isc at STC (A)</t>
  </si>
  <si>
    <t>Module efficiency</t>
  </si>
  <si>
    <t>SELECTED</t>
  </si>
  <si>
    <t>Maximum system voltage (V DC)</t>
  </si>
  <si>
    <t>Maximum series fuse rating (A)</t>
  </si>
  <si>
    <t>Design note: calculator uses STC electrical values for Voltage Drop and a separate minimum-cell-temperature check for Voc.</t>
  </si>
  <si>
    <t>Temperature coefficient Pmax</t>
  </si>
  <si>
    <t>Temperature coefficient Voc</t>
  </si>
  <si>
    <t>STC: irradiance 1000 W/m², cell temperature 25 °C, AM 1.5. Datasheet notes power measurement tolerance ±3%.</t>
  </si>
  <si>
    <t>Temperature coefficient Isc</t>
  </si>
  <si>
    <t>Operating temperature</t>
  </si>
  <si>
    <t>-40 °C to +70 °C</t>
  </si>
  <si>
    <t>Cell technology</t>
  </si>
  <si>
    <t>N-type mono-crystalline, bifacial, dual glass</t>
  </si>
  <si>
    <t>Dimensions</t>
  </si>
  <si>
    <t>2384 × 1303 × 33 mm</t>
  </si>
  <si>
    <t>Weight</t>
  </si>
  <si>
    <t>37.5 kg</t>
  </si>
  <si>
    <t>Output cables</t>
  </si>
  <si>
    <t>4.0 mm²; (+) 400 mm, (-) 200 mm or customized</t>
  </si>
  <si>
    <t>Connector</t>
  </si>
  <si>
    <t>PV-JK03M/xy, PV-03M2/xy; PV-KST4-EVO2A/xy, PV-KBT4-EVO2A/xy</t>
  </si>
  <si>
    <t>Source file</t>
  </si>
  <si>
    <t>Cable Database | Low-voltage CV in project list</t>
  </si>
  <si>
    <t>Cable ID</t>
  </si>
  <si>
    <t>Project description</t>
  </si>
  <si>
    <t>No. cores</t>
  </si>
  <si>
    <t>Area (sq.mm.)</t>
  </si>
  <si>
    <t>Rdc @20°C (Ω/km)</t>
  </si>
  <si>
    <t>α (1/°C)</t>
  </si>
  <si>
    <t>R @ selected temp (Ω/km)</t>
  </si>
  <si>
    <t>X default (Ω/km)</t>
  </si>
  <si>
    <t>Cable status</t>
  </si>
  <si>
    <t>Source</t>
  </si>
  <si>
    <t>FD-0.6/1KV-CV 4C</t>
  </si>
  <si>
    <t>Included in source file</t>
  </si>
  <si>
    <t>Project list + IEC 60228 Rdc</t>
  </si>
  <si>
    <t>FD-0.6/1KV-CV 1C</t>
  </si>
  <si>
    <t>DC Cable Database | H1Z2Z2-K PV Cable | Phelps Dodge and Bangkok Cable</t>
  </si>
  <si>
    <t>Resistance values are datasheet maximum DC resistance at 20 °C. Rdc @ operating temp and loop mV/A/m are formula-driven using the selected operating temperature and αCu.</t>
  </si>
  <si>
    <t>Manufacturer</t>
  </si>
  <si>
    <t>Cable type</t>
  </si>
  <si>
    <t>Area (mm²)</t>
  </si>
  <si>
    <t>Datasheet VD (mV/A/m)</t>
  </si>
  <si>
    <t>Ampacity free air (A)</t>
  </si>
  <si>
    <t>Ampacity surface (A)</t>
  </si>
  <si>
    <t>Ampacity two loaded / surface (A)</t>
  </si>
  <si>
    <t>Rated voltage DC (kV)</t>
  </si>
  <si>
    <t>Max conductor temp (°C)</t>
  </si>
  <si>
    <t>Standard length (m)</t>
  </si>
  <si>
    <t>Rdc @ operating temp (Ω/km)</t>
  </si>
  <si>
    <t>Loop VD @ operating temp (mV/A/m)</t>
  </si>
  <si>
    <t>Source / note</t>
  </si>
  <si>
    <t>Phelps Dodge H1Z2Z2-K 2.5 mm²</t>
  </si>
  <si>
    <t>Phelps Dodge</t>
  </si>
  <si>
    <t>H1Z2Z2-K</t>
  </si>
  <si>
    <t>Phelps_Dodge_PV_Cable_H1Z2Z2-K_Datasheet.pdf; datasheet VD column</t>
  </si>
  <si>
    <t>Phelps Dodge H1Z2Z2-K 4 mm²</t>
  </si>
  <si>
    <t>Phelps Dodge H1Z2Z2-K 6 mm²</t>
  </si>
  <si>
    <t>Phelps Dodge H1Z2Z2-K 10 mm²</t>
  </si>
  <si>
    <t>Phelps Dodge H1Z2Z2-K 16 mm²</t>
  </si>
  <si>
    <t>Phelps Dodge H1Z2Z2-K 25 mm²</t>
  </si>
  <si>
    <t>Phelps Dodge H1Z2Z2-K 35 mm²</t>
  </si>
  <si>
    <t>Phelps Dodge H1Z2Z2-K 50 mm²</t>
  </si>
  <si>
    <t>Phelps Dodge H1Z2Z2-K 70 mm²</t>
  </si>
  <si>
    <t>Phelps Dodge H1Z2Z2-K 95 mm²</t>
  </si>
  <si>
    <t>Phelps Dodge H1Z2Z2-K 120 mm²</t>
  </si>
  <si>
    <t>Phelps Dodge H1Z2Z2-K 150 mm²</t>
  </si>
  <si>
    <t>Phelps Dodge H1Z2Z2-K 185 mm²</t>
  </si>
  <si>
    <t>Phelps Dodge H1Z2Z2-K 240 mm²</t>
  </si>
  <si>
    <t>Bangkok Cable H1Z2Z2-K 1.5 mm²</t>
  </si>
  <si>
    <t>Bangkok Cable</t>
  </si>
  <si>
    <t>Bangkok_Cable_H1Z2Z2-K_PV_Cable_Datasheet.pdf; attached table</t>
  </si>
  <si>
    <t>Bangkok Cable H1Z2Z2-K 2.5 mm²</t>
  </si>
  <si>
    <t>Bangkok Cable H1Z2Z2-K 4 mm²</t>
  </si>
  <si>
    <t>Bangkok Cable H1Z2Z2-K 6 mm²</t>
  </si>
  <si>
    <t>Bangkok Cable H1Z2Z2-K 10 mm²</t>
  </si>
  <si>
    <t>Bangkok Cable H1Z2Z2-K 16 mm²</t>
  </si>
  <si>
    <t>Bangkok Cable H1Z2Z2-K 25 mm²</t>
  </si>
  <si>
    <t>Bangkok Cable H1Z2Z2-K 35 mm²</t>
  </si>
  <si>
    <t>Bangkok Cable H1Z2Z2-K 50 mm²</t>
  </si>
  <si>
    <t>Bangkok Cable H1Z2Z2-K 70 mm²</t>
  </si>
  <si>
    <t>Bangkok Cable H1Z2Z2-K 95 mm²</t>
  </si>
  <si>
    <t>Bangkok Cable H1Z2Z2-K 120 mm²</t>
  </si>
  <si>
    <t>Bangkok Cable H1Z2Z2-K 150 mm²</t>
  </si>
  <si>
    <t>Bangkok Cable H1Z2Z2-K 185 mm²</t>
  </si>
  <si>
    <t>Bangkok Cable H1Z2Z2-K 240 mm²</t>
  </si>
  <si>
    <t>CV Low-Voltage Voltage-Drop Calculator | Design limit ≤ 3%</t>
  </si>
  <si>
    <t>1) Enter or select yellow cells. Results update automatically. All lengths are one-way route lengths.</t>
  </si>
  <si>
    <t>INPUT</t>
  </si>
  <si>
    <t>VALUE</t>
  </si>
  <si>
    <t>2) Calculated result</t>
  </si>
  <si>
    <t>System</t>
  </si>
  <si>
    <t>3Φ AC</t>
  </si>
  <si>
    <t>R at operating temp (Ω/km)</t>
  </si>
  <si>
    <t>Nominal voltage (V)</t>
  </si>
  <si>
    <t>sin φ</t>
  </si>
  <si>
    <t>Load current (A)</t>
  </si>
  <si>
    <t>Circuit multiplier</t>
  </si>
  <si>
    <t>Power factor (AC only)</t>
  </si>
  <si>
    <t>Effective impedance term (Ω/km)</t>
  </si>
  <si>
    <t>One-way route length (m)</t>
  </si>
  <si>
    <t>Voltage drop ΔV (V)</t>
  </si>
  <si>
    <t>Voltage-drop limit</t>
  </si>
  <si>
    <t>Voltage drop</t>
  </si>
  <si>
    <t>Conductor temperature (°C)</t>
  </si>
  <si>
    <t>Result</t>
  </si>
  <si>
    <t>Reactance X (Ω/km)</t>
  </si>
  <si>
    <t>Maximum route length (m)</t>
  </si>
  <si>
    <t>Notes / circuit name</t>
  </si>
  <si>
    <t>Example: LV feeder</t>
  </si>
  <si>
    <t>Margin to limit (m)</t>
  </si>
  <si>
    <t>Formula used</t>
  </si>
  <si>
    <t>Important: This is a voltage-drop check, not a cable ampacity selection. Verify ampacity/derating, fault duty, protection and EIT/project requirements separately.</t>
  </si>
  <si>
    <t>ขั้นตอนการเลือกสาย ยังไม่ได้รวมในนี้</t>
  </si>
  <si>
    <t>1) ชนิดสาย</t>
  </si>
  <si>
    <t>2) กลุ่มการติดตั้ง</t>
  </si>
  <si>
    <t>3) Factor จำนวนสายไฟ</t>
  </si>
  <si>
    <t>4) Factor อุณหภูมิสภาพแวดล้อม</t>
  </si>
  <si>
    <t>5) ใช้ R จากผู้ผลิตคำนวณ Voltage Drop</t>
  </si>
  <si>
    <t>Quick Reference | Maximum one-way route length for voltage drop ≤ limit</t>
  </si>
  <si>
    <t>Common inputs</t>
  </si>
  <si>
    <t>Preset scenarios (change current / PF / voltage in the header cells as needed)</t>
  </si>
  <si>
    <t>3 Phase</t>
  </si>
  <si>
    <t>1 Phase (AC)</t>
  </si>
  <si>
    <t>1 Phase (DC)</t>
  </si>
  <si>
    <t>เอา Amp ไปหาร จะได้ L-MAX</t>
  </si>
  <si>
    <t>Cores</t>
  </si>
  <si>
    <t>R at temp (Ω/km)</t>
  </si>
  <si>
    <t>X (Ω/km)</t>
  </si>
  <si>
    <t>3Φ 400V PF 0.80 @100A</t>
  </si>
  <si>
    <t>3Φ 400V PF 0.95 @100A</t>
  </si>
  <si>
    <t>3Φ 400V PF 1.00 @100A</t>
  </si>
  <si>
    <t>1Φ 230V PF 0.95 @50A</t>
  </si>
  <si>
    <t>DC 1000V @100A</t>
  </si>
  <si>
    <t>m per A: 3Φ 400V PF1</t>
  </si>
  <si>
    <t>Tip: maximum length is inversely proportional to load current. Use the Calculator sheet for the exact project load, voltage, PF and route length.</t>
  </si>
  <si>
    <t>AC Sensitivity | Maximum one-way route length for adjustable current and PF</t>
  </si>
  <si>
    <t>Adjustable AC inputs</t>
  </si>
  <si>
    <t>3Φ AC adjustable maximum route length</t>
  </si>
  <si>
    <t>System voltage (V)</t>
  </si>
  <si>
    <t>Max length (m)</t>
  </si>
  <si>
    <t>m per A</t>
  </si>
  <si>
    <t>Status / note</t>
  </si>
  <si>
    <t>Current (A)</t>
  </si>
  <si>
    <t>Formula-driven</t>
  </si>
  <si>
    <t>Power Factor (PF)</t>
  </si>
  <si>
    <t>ปรับค่าเซลล์สีเหลือง: Voltage / Current / PF; ค่า Temp และ Vdrop สีเขียวเชื่อมจาก Common inputs</t>
  </si>
  <si>
    <t>DC PV String Voltage-Drop Calculator | Jinko 725 Wp | Phelps Dodge / Bangkok Cable</t>
  </si>
  <si>
    <t>Enter or select yellow cells. All lengths are one-way route lengths. The DC formula includes the positive and negative conductors.</t>
  </si>
  <si>
    <t>CALCULATED RESULT</t>
  </si>
  <si>
    <t>Modules in series (modules/string)</t>
  </si>
  <si>
    <t>Vmp/module (V)</t>
  </si>
  <si>
    <t>Imp/module (A)</t>
  </si>
  <si>
    <t>Voc/module STC (V)</t>
  </si>
  <si>
    <t>Operating conductor temperature (°C)</t>
  </si>
  <si>
    <t>String Vmp (V)</t>
  </si>
  <si>
    <t>Design minimum cell temperature (°C)</t>
  </si>
  <si>
    <t>String Imp (A)</t>
  </si>
  <si>
    <t>Inverter maximum DC input voltage (V)</t>
  </si>
  <si>
    <t>String Pmp at Vmp×Imp (W)</t>
  </si>
  <si>
    <t>Example: 20-module string to inverter</t>
  </si>
  <si>
    <t>Voc/module at min cell temp (V)</t>
  </si>
  <si>
    <t>Cable selection basis</t>
  </si>
  <si>
    <t>Voltage Drop + ampacity check only</t>
  </si>
  <si>
    <t>String Voc at min cell temp (V)</t>
  </si>
  <si>
    <t>Loop resistance (Ω)</t>
  </si>
  <si>
    <t>Voltage drop (%)</t>
  </si>
  <si>
    <t>ขั้นตอนการเลือกสาย DC ยังไม่ได้รวมในนี้</t>
  </si>
  <si>
    <t>Power loss (W)</t>
  </si>
  <si>
    <t>Power loss (%)</t>
  </si>
  <si>
    <t>Maximum one-way route length (m)</t>
  </si>
  <si>
    <t>Ampacity: two loaded / surface (A)</t>
  </si>
  <si>
    <t>ดู K Factor - กลุ่มการติดตั้ง /หรือดูค่า A จากตาราง วสท.</t>
  </si>
  <si>
    <t>Ampacity status</t>
  </si>
  <si>
    <t>Cable rated voltage (V DC)</t>
  </si>
  <si>
    <t>Voltage rating status</t>
  </si>
  <si>
    <t>Cable max conductor temp (°C)</t>
  </si>
  <si>
    <t>Temperature input status</t>
  </si>
  <si>
    <t>Overall result</t>
  </si>
  <si>
    <t>Formula: ΔV = 2 × I × L × Rθ / 1000, where Rθ is in Ω/km and L is one-way in m. Power loss = I² × loop resistance.</t>
  </si>
  <si>
    <t>Important: this is a Voltage Drop and preliminary ampacity check. Verify installation method, grouping/temperature derating, connectors, protection, short-circuit duty, earthing and inverter limits separately.</t>
  </si>
  <si>
    <t>DC Quick Reference | Maximum one-way route length for Voltage Drop target</t>
  </si>
  <si>
    <t>Reference settings</t>
  </si>
  <si>
    <t>Minimum cell temperature (°C)</t>
  </si>
  <si>
    <t>Length basis</t>
  </si>
  <si>
    <t>One-way route length</t>
  </si>
  <si>
    <t>Voltage-drop target</t>
  </si>
  <si>
    <t>Cable sizes highlighted</t>
  </si>
  <si>
    <t>4 / 6 / 10 mm²</t>
  </si>
  <si>
    <t>Method</t>
  </si>
  <si>
    <t>2-wire DC; positive + negative</t>
  </si>
  <si>
    <t>Common sizes | Maximum one-way length at 10-module, 15-module and 20-module strings</t>
  </si>
  <si>
    <t>10 modules (m)</t>
  </si>
  <si>
    <t>15 modules  (m)</t>
  </si>
  <si>
    <t>20 modules (m)</t>
  </si>
  <si>
    <t>Rdc @90°C (Ω/km)</t>
  </si>
  <si>
    <t>All cable sizes in source datasheets | Target = 3.0% | Use this table to compare manufacturers and larger sizes</t>
  </si>
  <si>
    <t>All cable sizes in source datasheets | Target = 1.5% | Use this table to compare manufacturers and larger sizes</t>
  </si>
  <si>
    <t>Rdc @20°C</t>
  </si>
  <si>
    <t>Rdc @90°C</t>
  </si>
  <si>
    <t>Ampacity two loaded / surface</t>
  </si>
  <si>
    <t>10 modules Lmax (m)</t>
  </si>
  <si>
    <t>15 modules Lmax (m)</t>
  </si>
  <si>
    <t>20 modules Lmax (m)</t>
  </si>
  <si>
    <t>DC Design Summary | Jinko 725 Wp | Voltage Drop target 3.0% | One-way route length from DC Calculator</t>
  </si>
  <si>
    <t>Common selection summary for 4, 6 and 10 mm² H1Z2Z2-K PV cable. Values are formula-driven from Panel Datasheet, DC Cable Database and DC Calculator inputs.</t>
  </si>
  <si>
    <t>Modules/string</t>
  </si>
  <si>
    <t>String Pmp (W)</t>
  </si>
  <si>
    <t>Cable size (mm²)</t>
  </si>
  <si>
    <t>Lmax @3.0% (m)</t>
  </si>
  <si>
    <t>ΔV @100m (V)</t>
  </si>
  <si>
    <t>ΔV @100m (%)</t>
  </si>
  <si>
    <t>Power loss @100m (W)</t>
  </si>
  <si>
    <t>Quick use @100m</t>
  </si>
  <si>
    <t>Consider larger cable</t>
  </si>
  <si>
    <t>OK at input length</t>
  </si>
  <si>
    <t>Interpretation: select a cable with Lmax greater than the measured route length, then verify ampacity after actual installation derating. The lower table follows the yellow input cells on this sheet.</t>
  </si>
  <si>
    <t>Lower-table inputs | edit yellow cells</t>
  </si>
  <si>
    <t>Input variable</t>
  </si>
  <si>
    <t>Input value</t>
  </si>
  <si>
    <t>Cable selected (linked)</t>
  </si>
  <si>
    <t>Edit yellow cells. The lower table uses selected modules, route length, voltage-drop limit, string current and operating temperature from B31:B35. Cable and inverter references remain linked.</t>
  </si>
  <si>
    <t>String current / Imp (A)</t>
  </si>
  <si>
    <t>Operating conductor temp (°C)</t>
  </si>
  <si>
    <t>Minimum cell temp (°C)</t>
  </si>
  <si>
    <t>Inverter max DC input (linked)</t>
  </si>
  <si>
    <t>Maximum one-way route length at yellow input values</t>
  </si>
  <si>
    <t>Lmax at target (m)</t>
  </si>
  <si>
    <t>Vdrop target</t>
  </si>
  <si>
    <t>Conductor temp (°C)</t>
  </si>
  <si>
    <t>Route input (m)</t>
  </si>
  <si>
    <t>Lmax margin (m)</t>
  </si>
  <si>
    <t>Status</t>
  </si>
  <si>
    <t>Engineering check: Lmax follows the yellow inputs on this sheet. Status requires both Lmax ≥ route input and ampacity ≥ string current. Confirm installation derating, grouping, termination ratings and protective-device coordination separately.</t>
  </si>
  <si>
    <t>AC Standard Method | EIT/WST Table 4.4 | XLPE cable voltage drop at 90°C</t>
  </si>
  <si>
    <t>Calculation inputs</t>
  </si>
  <si>
    <t>Voltage drop calculation from standard mV/A/m values</t>
  </si>
  <si>
    <t>1 Phase voltage (V)</t>
  </si>
  <si>
    <t>1Φ mV/A/m</t>
  </si>
  <si>
    <t>3Φ mV/A/m</t>
  </si>
  <si>
    <t>ΔV 1Φ (V)</t>
  </si>
  <si>
    <t>ΔV 1Φ (%)</t>
  </si>
  <si>
    <t>ΔV 3Φ (V)</t>
  </si>
  <si>
    <t>ΔV 3Φ (%)</t>
  </si>
  <si>
    <t>Loss 1Φ (W)</t>
  </si>
  <si>
    <t>Loss 3Φ (W)</t>
  </si>
  <si>
    <t>Lmax 1Φ @ limit (m)</t>
  </si>
  <si>
    <t>Lmax 3Φ @ limit (m)</t>
  </si>
  <si>
    <t>3 Phase voltage (V)</t>
  </si>
  <si>
    <t>Edit yellow inputs. ΔV = (mV/A/m) × I × L / 1000. PF affects calculated loss only.</t>
  </si>
  <si>
    <t>Reference: values transcribed from the supplied EIT/WST Table 4.4 image for XLPE cable at 90°C, all installation groups. Loss formulas use PF; the tabulated voltage-drop coefficients are used directly for 1Φ and 3Φ calculations.</t>
  </si>
  <si>
    <t>ใช้ PF</t>
  </si>
  <si>
    <r>
      <t xml:space="preserve">AC Standard Method | EIT/WST Table 4.4 | </t>
    </r>
    <r>
      <rPr>
        <b/>
        <sz val="12"/>
        <color rgb="FFFF0000"/>
        <rFont val="Carlito"/>
        <charset val="222"/>
      </rPr>
      <t>XLPE cable voltage drop at 90°C</t>
    </r>
  </si>
  <si>
    <t>L max @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</si>
</sst>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87" formatCode="0.0%"/>
    <numFmt numFmtId="188" formatCode="0.00000"/>
    <numFmt numFmtId="189" formatCode="0.000"/>
    <numFmt numFmtId="190" formatCode="0.0000"/>
    <numFmt numFmtId="191" formatCode="#,##0.0"/>
    <numFmt numFmtId="192" formatCode="0.0"/>
  </numFmts>
  <fonts count="25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9C0006"/>
      <name val="Carlito"/>
    </font>
    <font>
      <sz val="10"/>
      <name val="Carlito"/>
    </font>
    <font>
      <b/>
      <sz val="10"/>
      <color rgb="FF006100"/>
      <name val="Carlito"/>
    </font>
    <font>
      <b/>
      <sz val="10"/>
      <color rgb="FF17365D"/>
      <name val="Carlito"/>
    </font>
    <font>
      <sz val="10"/>
      <color rgb="FF7F6000"/>
      <name val="Carlito"/>
    </font>
    <font>
      <sz val="10"/>
      <color rgb="FF17365D"/>
      <name val="Carlito"/>
    </font>
    <font>
      <b/>
      <sz val="10"/>
      <color rgb="FF9C0006"/>
      <name val="Carlito"/>
    </font>
    <font>
      <b/>
      <sz val="10"/>
      <color rgb="FFFFFFFF"/>
      <name val="Carlito"/>
    </font>
    <font>
      <sz val="10"/>
      <color rgb="FFFF0000"/>
      <name val="Carlito"/>
    </font>
    <font>
      <sz val="11"/>
      <name val="Carlito"/>
    </font>
    <font>
      <b/>
      <sz val="10"/>
      <name val="Carlito"/>
    </font>
    <font>
      <b/>
      <sz val="11"/>
      <name val="Carlito"/>
    </font>
    <font>
      <b/>
      <sz val="9"/>
      <name val="Carlito"/>
    </font>
    <font>
      <b/>
      <sz val="10"/>
      <color rgb="FFFF0000"/>
      <name val="Carlito"/>
    </font>
    <font>
      <b/>
      <sz val="10"/>
      <color rgb="FF17365D"/>
      <name val="Carlito"/>
    </font>
    <font>
      <b/>
      <sz val="12"/>
      <color rgb="FFFFFFFF"/>
      <name val="Carlito"/>
    </font>
    <font>
      <sz val="10"/>
      <color rgb="FF1F1F1F"/>
      <name val="Carlito"/>
    </font>
    <font>
      <i/>
      <sz val="9"/>
      <color rgb="FF1F1F1F"/>
      <name val="Carlito"/>
    </font>
    <font>
      <b/>
      <sz val="10"/>
      <color rgb="FF1F1F1F"/>
      <name val="Carlito"/>
    </font>
    <font>
      <b/>
      <sz val="10"/>
      <color rgb="FF1F1F1F"/>
      <name val="Carlito"/>
      <charset val="222"/>
    </font>
    <font>
      <b/>
      <sz val="12"/>
      <color rgb="FFFF0000"/>
      <name val="Carlito"/>
      <charset val="222"/>
    </font>
    <font>
      <b/>
      <sz val="9"/>
      <color rgb="FF17365D"/>
      <name val="Carlito"/>
    </font>
  </fonts>
  <fills count="4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8E1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F00"/>
      </patternFill>
    </fill>
    <fill>
      <patternFill patternType="solid">
        <fgColor theme="6" tint="0.59990234076967686"/>
        <bgColor indexed="65"/>
      </patternFill>
    </fill>
    <fill>
      <patternFill patternType="solid">
        <fgColor rgb="FF92D050"/>
      </patternFill>
    </fill>
    <fill>
      <patternFill patternType="solid">
        <fgColor rgb="FFFFFFCC"/>
      </patternFill>
    </fill>
    <fill>
      <patternFill patternType="solid">
        <fgColor theme="7" tint="0.79989013336588644"/>
        <bgColor indexed="65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9" tint="0.79992065187536243"/>
        <bgColor indexed="65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00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4" borderId="4" xfId="0" applyFill="1" applyBorder="1"/>
    <xf numFmtId="187" fontId="0" fillId="4" borderId="4" xfId="0" applyNumberFormat="1" applyFill="1" applyBorder="1"/>
    <xf numFmtId="189" fontId="0" fillId="4" borderId="4" xfId="0" applyNumberFormat="1" applyFill="1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190" fontId="0" fillId="4" borderId="4" xfId="0" applyNumberFormat="1" applyFill="1" applyBorder="1"/>
    <xf numFmtId="190" fontId="0" fillId="0" borderId="4" xfId="0" applyNumberFormat="1" applyBorder="1" applyAlignment="1">
      <alignment wrapText="1"/>
    </xf>
    <xf numFmtId="2" fontId="0" fillId="4" borderId="4" xfId="0" applyNumberFormat="1" applyFill="1" applyBorder="1"/>
    <xf numFmtId="0" fontId="0" fillId="4" borderId="4" xfId="0" applyFill="1" applyBorder="1" applyAlignment="1">
      <alignment wrapText="1"/>
    </xf>
    <xf numFmtId="0" fontId="0" fillId="8" borderId="4" xfId="0" applyFill="1" applyBorder="1"/>
    <xf numFmtId="190" fontId="0" fillId="8" borderId="4" xfId="0" applyNumberFormat="1" applyFill="1" applyBorder="1"/>
    <xf numFmtId="10" fontId="0" fillId="8" borderId="4" xfId="0" applyNumberFormat="1" applyFill="1" applyBorder="1"/>
    <xf numFmtId="191" fontId="0" fillId="8" borderId="4" xfId="0" applyNumberFormat="1" applyFill="1" applyBorder="1"/>
    <xf numFmtId="0" fontId="0" fillId="8" borderId="4" xfId="0" applyFill="1" applyBorder="1" applyAlignment="1">
      <alignment wrapText="1"/>
    </xf>
    <xf numFmtId="191" fontId="0" fillId="0" borderId="4" xfId="0" applyNumberFormat="1" applyBorder="1" applyAlignment="1">
      <alignment wrapText="1"/>
    </xf>
    <xf numFmtId="0" fontId="0" fillId="10" borderId="4" xfId="0" applyFill="1" applyBorder="1"/>
    <xf numFmtId="0" fontId="1" fillId="12" borderId="4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vertical="center" wrapText="1"/>
    </xf>
    <xf numFmtId="0" fontId="4" fillId="13" borderId="4" xfId="0" applyFont="1" applyFill="1" applyBorder="1" applyAlignment="1">
      <alignment vertical="center" wrapText="1"/>
    </xf>
    <xf numFmtId="187" fontId="4" fillId="13" borderId="4" xfId="0" applyNumberFormat="1" applyFont="1" applyFill="1" applyBorder="1" applyAlignment="1">
      <alignment vertical="center" wrapText="1"/>
    </xf>
    <xf numFmtId="10" fontId="4" fillId="13" borderId="4" xfId="0" applyNumberFormat="1" applyFont="1" applyFill="1" applyBorder="1" applyAlignment="1">
      <alignment vertical="center" wrapText="1"/>
    </xf>
    <xf numFmtId="2" fontId="4" fillId="13" borderId="4" xfId="0" applyNumberFormat="1" applyFont="1" applyFill="1" applyBorder="1" applyAlignment="1">
      <alignment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15" borderId="4" xfId="0" applyFont="1" applyFill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10" fontId="4" fillId="0" borderId="4" xfId="0" applyNumberFormat="1" applyFont="1" applyBorder="1" applyAlignment="1">
      <alignment vertical="center"/>
    </xf>
    <xf numFmtId="192" fontId="4" fillId="0" borderId="4" xfId="0" applyNumberFormat="1" applyFont="1" applyBorder="1" applyAlignment="1">
      <alignment vertical="center" wrapText="1"/>
    </xf>
    <xf numFmtId="189" fontId="4" fillId="13" borderId="4" xfId="0" applyNumberFormat="1" applyFont="1" applyFill="1" applyBorder="1" applyAlignment="1">
      <alignment vertical="center" wrapText="1"/>
    </xf>
    <xf numFmtId="189" fontId="4" fillId="15" borderId="4" xfId="0" applyNumberFormat="1" applyFont="1" applyFill="1" applyBorder="1" applyAlignment="1">
      <alignment vertical="center" wrapText="1"/>
    </xf>
    <xf numFmtId="3" fontId="4" fillId="13" borderId="4" xfId="0" applyNumberFormat="1" applyFont="1" applyFill="1" applyBorder="1" applyAlignment="1">
      <alignment vertical="center" wrapText="1"/>
    </xf>
    <xf numFmtId="189" fontId="4" fillId="0" borderId="4" xfId="0" applyNumberFormat="1" applyFont="1" applyBorder="1" applyAlignment="1">
      <alignment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11" fillId="13" borderId="4" xfId="0" applyFont="1" applyFill="1" applyBorder="1" applyAlignment="1">
      <alignment vertical="center" wrapText="1"/>
    </xf>
    <xf numFmtId="0" fontId="10" fillId="14" borderId="4" xfId="0" applyFont="1" applyFill="1" applyBorder="1" applyAlignment="1">
      <alignment horizontal="center" wrapText="1"/>
    </xf>
    <xf numFmtId="189" fontId="4" fillId="15" borderId="4" xfId="0" applyNumberFormat="1" applyFont="1" applyFill="1" applyBorder="1"/>
    <xf numFmtId="2" fontId="4" fillId="15" borderId="4" xfId="0" applyNumberFormat="1" applyFont="1" applyFill="1" applyBorder="1"/>
    <xf numFmtId="190" fontId="4" fillId="15" borderId="4" xfId="0" applyNumberFormat="1" applyFont="1" applyFill="1" applyBorder="1"/>
    <xf numFmtId="10" fontId="4" fillId="15" borderId="4" xfId="0" applyNumberFormat="1" applyFont="1" applyFill="1" applyBorder="1"/>
    <xf numFmtId="192" fontId="4" fillId="15" borderId="4" xfId="0" applyNumberFormat="1" applyFont="1" applyFill="1" applyBorder="1"/>
    <xf numFmtId="0" fontId="4" fillId="15" borderId="4" xfId="0" applyFont="1" applyFill="1" applyBorder="1"/>
    <xf numFmtId="1" fontId="4" fillId="15" borderId="4" xfId="0" applyNumberFormat="1" applyFont="1" applyFill="1" applyBorder="1"/>
    <xf numFmtId="190" fontId="0" fillId="4" borderId="4" xfId="0" applyNumberFormat="1" applyFill="1" applyBorder="1" applyAlignment="1">
      <alignment vertical="center" wrapText="1"/>
    </xf>
    <xf numFmtId="190" fontId="0" fillId="0" borderId="4" xfId="0" applyNumberForma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18" borderId="4" xfId="0" applyFont="1" applyFill="1" applyBorder="1" applyAlignment="1">
      <alignment vertical="center" wrapText="1"/>
    </xf>
    <xf numFmtId="0" fontId="13" fillId="13" borderId="4" xfId="0" applyFont="1" applyFill="1" applyBorder="1" applyAlignment="1">
      <alignment horizontal="center" vertical="center" wrapText="1"/>
    </xf>
    <xf numFmtId="2" fontId="13" fillId="13" borderId="4" xfId="0" applyNumberFormat="1" applyFont="1" applyFill="1" applyBorder="1" applyAlignment="1">
      <alignment vertical="center" wrapText="1"/>
    </xf>
    <xf numFmtId="188" fontId="0" fillId="18" borderId="4" xfId="0" applyNumberFormat="1" applyFill="1" applyBorder="1"/>
    <xf numFmtId="188" fontId="4" fillId="18" borderId="4" xfId="0" applyNumberFormat="1" applyFont="1" applyFill="1" applyBorder="1" applyAlignment="1">
      <alignment vertical="center" wrapText="1"/>
    </xf>
    <xf numFmtId="0" fontId="4" fillId="18" borderId="4" xfId="0" applyFont="1" applyFill="1" applyBorder="1" applyAlignment="1">
      <alignment vertical="center" wrapText="1"/>
    </xf>
    <xf numFmtId="192" fontId="13" fillId="0" borderId="4" xfId="0" applyNumberFormat="1" applyFont="1" applyBorder="1" applyAlignment="1">
      <alignment vertical="center" wrapText="1"/>
    </xf>
    <xf numFmtId="187" fontId="4" fillId="18" borderId="4" xfId="0" applyNumberFormat="1" applyFont="1" applyFill="1" applyBorder="1" applyAlignment="1">
      <alignment vertical="center" wrapText="1"/>
    </xf>
    <xf numFmtId="187" fontId="0" fillId="18" borderId="4" xfId="0" applyNumberFormat="1" applyFill="1" applyBorder="1"/>
    <xf numFmtId="0" fontId="14" fillId="0" borderId="0" xfId="0" applyFont="1" applyAlignment="1">
      <alignment horizontal="center"/>
    </xf>
    <xf numFmtId="0" fontId="4" fillId="20" borderId="0" xfId="0" applyFont="1" applyFill="1"/>
    <xf numFmtId="0" fontId="0" fillId="20" borderId="0" xfId="0" applyFill="1"/>
    <xf numFmtId="192" fontId="4" fillId="13" borderId="4" xfId="0" applyNumberFormat="1" applyFont="1" applyFill="1" applyBorder="1" applyAlignment="1">
      <alignment vertical="center" wrapText="1"/>
    </xf>
    <xf numFmtId="187" fontId="6" fillId="16" borderId="4" xfId="0" applyNumberFormat="1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vertical="center"/>
    </xf>
    <xf numFmtId="187" fontId="4" fillId="21" borderId="4" xfId="0" applyNumberFormat="1" applyFont="1" applyFill="1" applyBorder="1" applyAlignment="1">
      <alignment vertical="center"/>
    </xf>
    <xf numFmtId="0" fontId="4" fillId="21" borderId="4" xfId="0" applyFont="1" applyFill="1" applyBorder="1" applyAlignment="1">
      <alignment vertical="center" wrapText="1"/>
    </xf>
    <xf numFmtId="0" fontId="16" fillId="22" borderId="4" xfId="0" applyFont="1" applyFill="1" applyBorder="1" applyAlignment="1">
      <alignment horizontal="center" vertical="center" wrapText="1"/>
    </xf>
    <xf numFmtId="187" fontId="10" fillId="12" borderId="4" xfId="0" applyNumberFormat="1" applyFont="1" applyFill="1" applyBorder="1" applyAlignment="1">
      <alignment horizontal="center" vertical="center" wrapText="1"/>
    </xf>
    <xf numFmtId="0" fontId="6" fillId="16" borderId="4" xfId="0" applyFont="1" applyFill="1" applyBorder="1"/>
    <xf numFmtId="0" fontId="17" fillId="16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vertical="center" wrapText="1"/>
    </xf>
    <xf numFmtId="192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0" fontId="10" fillId="25" borderId="0" xfId="0" applyFont="1" applyFill="1" applyAlignment="1">
      <alignment horizontal="center" vertical="center" wrapText="1"/>
    </xf>
    <xf numFmtId="0" fontId="6" fillId="23" borderId="0" xfId="0" applyFont="1" applyFill="1" applyAlignment="1">
      <alignment vertical="center"/>
    </xf>
    <xf numFmtId="1" fontId="19" fillId="26" borderId="0" xfId="0" applyNumberFormat="1" applyFont="1" applyFill="1" applyAlignment="1">
      <alignment horizontal="right" vertical="center"/>
    </xf>
    <xf numFmtId="192" fontId="19" fillId="26" borderId="0" xfId="0" applyNumberFormat="1" applyFont="1" applyFill="1" applyAlignment="1">
      <alignment horizontal="right" vertical="center"/>
    </xf>
    <xf numFmtId="2" fontId="19" fillId="26" borderId="0" xfId="0" applyNumberFormat="1" applyFont="1" applyFill="1" applyAlignment="1">
      <alignment horizontal="right" vertical="center"/>
    </xf>
    <xf numFmtId="1" fontId="19" fillId="27" borderId="0" xfId="0" applyNumberFormat="1" applyFont="1" applyFill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92" fontId="19" fillId="0" borderId="0" xfId="0" applyNumberFormat="1" applyFont="1" applyAlignment="1">
      <alignment horizontal="right" vertical="center"/>
    </xf>
    <xf numFmtId="1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right" vertical="center"/>
    </xf>
    <xf numFmtId="192" fontId="19" fillId="0" borderId="0" xfId="0" applyNumberFormat="1" applyFont="1" applyAlignment="1">
      <alignment horizontal="left" vertical="center"/>
    </xf>
    <xf numFmtId="187" fontId="19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15" fillId="19" borderId="0" xfId="0" applyFont="1" applyFill="1" applyAlignment="1">
      <alignment horizontal="left" vertical="center"/>
    </xf>
    <xf numFmtId="192" fontId="19" fillId="0" borderId="0" xfId="0" applyNumberFormat="1" applyFont="1" applyAlignment="1">
      <alignment horizontal="center" vertical="center"/>
    </xf>
    <xf numFmtId="190" fontId="19" fillId="0" borderId="0" xfId="0" applyNumberFormat="1" applyFont="1" applyAlignment="1">
      <alignment horizontal="center" vertical="center"/>
    </xf>
    <xf numFmtId="192" fontId="21" fillId="28" borderId="0" xfId="0" applyNumberFormat="1" applyFont="1" applyFill="1" applyAlignment="1">
      <alignment horizontal="center" vertical="center"/>
    </xf>
    <xf numFmtId="192" fontId="19" fillId="28" borderId="0" xfId="0" applyNumberFormat="1" applyFont="1" applyFill="1" applyAlignment="1">
      <alignment horizontal="right" vertical="center"/>
    </xf>
    <xf numFmtId="0" fontId="10" fillId="30" borderId="0" xfId="0" applyFont="1" applyFill="1" applyAlignment="1">
      <alignment horizontal="center" vertical="center" wrapText="1"/>
    </xf>
    <xf numFmtId="1" fontId="19" fillId="31" borderId="0" xfId="0" applyNumberFormat="1" applyFont="1" applyFill="1" applyAlignment="1">
      <alignment horizontal="right" vertical="center"/>
    </xf>
    <xf numFmtId="1" fontId="19" fillId="32" borderId="0" xfId="0" applyNumberFormat="1" applyFont="1" applyFill="1" applyAlignment="1">
      <alignment horizontal="right" vertical="center"/>
    </xf>
    <xf numFmtId="192" fontId="19" fillId="32" borderId="0" xfId="0" applyNumberFormat="1" applyFont="1" applyFill="1" applyAlignment="1">
      <alignment horizontal="right" vertical="center"/>
    </xf>
    <xf numFmtId="187" fontId="19" fillId="32" borderId="0" xfId="0" applyNumberFormat="1" applyFont="1" applyFill="1" applyAlignment="1">
      <alignment horizontal="right" vertical="center"/>
    </xf>
    <xf numFmtId="2" fontId="19" fillId="32" borderId="0" xfId="0" applyNumberFormat="1" applyFont="1" applyFill="1" applyAlignment="1">
      <alignment horizontal="right" vertical="center"/>
    </xf>
    <xf numFmtId="0" fontId="6" fillId="29" borderId="0" xfId="0" applyFont="1" applyFill="1" applyAlignment="1">
      <alignment vertical="center" wrapText="1"/>
    </xf>
    <xf numFmtId="0" fontId="19" fillId="31" borderId="0" xfId="0" applyFont="1" applyFill="1" applyAlignment="1">
      <alignment horizontal="right" vertical="center" wrapText="1"/>
    </xf>
    <xf numFmtId="0" fontId="16" fillId="34" borderId="0" xfId="0" applyFont="1" applyFill="1"/>
    <xf numFmtId="0" fontId="11" fillId="34" borderId="0" xfId="0" applyFont="1" applyFill="1"/>
    <xf numFmtId="0" fontId="10" fillId="36" borderId="0" xfId="0" applyFont="1" applyFill="1" applyAlignment="1">
      <alignment horizontal="center" vertical="center" wrapText="1"/>
    </xf>
    <xf numFmtId="0" fontId="6" fillId="37" borderId="0" xfId="0" applyFont="1" applyFill="1" applyAlignment="1">
      <alignment vertical="center"/>
    </xf>
    <xf numFmtId="1" fontId="19" fillId="38" borderId="0" xfId="0" applyNumberFormat="1" applyFont="1" applyFill="1" applyAlignment="1">
      <alignment horizontal="right" vertical="center"/>
    </xf>
    <xf numFmtId="192" fontId="19" fillId="38" borderId="0" xfId="0" applyNumberFormat="1" applyFont="1" applyFill="1" applyAlignment="1">
      <alignment horizontal="right" vertical="center"/>
    </xf>
    <xf numFmtId="2" fontId="19" fillId="38" borderId="0" xfId="0" applyNumberFormat="1" applyFont="1" applyFill="1" applyAlignment="1">
      <alignment horizontal="right" vertical="center"/>
    </xf>
    <xf numFmtId="187" fontId="19" fillId="39" borderId="0" xfId="0" applyNumberFormat="1" applyFont="1" applyFill="1" applyAlignment="1">
      <alignment horizontal="right" vertical="center"/>
    </xf>
    <xf numFmtId="1" fontId="22" fillId="0" borderId="0" xfId="0" applyNumberFormat="1" applyFont="1" applyAlignment="1">
      <alignment horizontal="center" vertical="center"/>
    </xf>
    <xf numFmtId="0" fontId="6" fillId="37" borderId="0" xfId="0" applyFont="1" applyFill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43" fontId="19" fillId="0" borderId="0" xfId="1" applyFont="1" applyAlignment="1">
      <alignment horizontal="center" vertical="center"/>
    </xf>
    <xf numFmtId="0" fontId="24" fillId="37" borderId="0" xfId="0" applyFont="1" applyFill="1" applyAlignment="1">
      <alignment vertical="center"/>
    </xf>
    <xf numFmtId="192" fontId="22" fillId="0" borderId="0" xfId="0" applyNumberFormat="1" applyFont="1" applyAlignment="1">
      <alignment horizontal="center" vertical="center"/>
    </xf>
    <xf numFmtId="0" fontId="16" fillId="37" borderId="0" xfId="0" applyFont="1" applyFill="1" applyAlignment="1">
      <alignment horizontal="right" vertical="center"/>
    </xf>
    <xf numFmtId="192" fontId="16" fillId="37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0" fillId="6" borderId="5" xfId="0" applyFill="1" applyBorder="1" applyAlignment="1">
      <alignment wrapText="1"/>
    </xf>
    <xf numFmtId="0" fontId="0" fillId="6" borderId="6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8" xfId="0" applyFill="1" applyBorder="1" applyAlignment="1">
      <alignment wrapText="1"/>
    </xf>
    <xf numFmtId="0" fontId="0" fillId="6" borderId="9" xfId="0" applyFill="1" applyBorder="1" applyAlignment="1">
      <alignment wrapText="1"/>
    </xf>
    <xf numFmtId="0" fontId="0" fillId="6" borderId="10" xfId="0" applyFill="1" applyBorder="1" applyAlignment="1">
      <alignment wrapText="1"/>
    </xf>
    <xf numFmtId="0" fontId="1" fillId="11" borderId="12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wrapText="1"/>
    </xf>
    <xf numFmtId="0" fontId="7" fillId="13" borderId="4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8" fillId="35" borderId="0" xfId="0" applyFont="1" applyFill="1" applyAlignment="1">
      <alignment horizontal="center" vertical="center"/>
    </xf>
    <xf numFmtId="0" fontId="20" fillId="40" borderId="0" xfId="0" applyFont="1" applyFill="1" applyAlignment="1">
      <alignment vertical="center" wrapText="1"/>
    </xf>
    <xf numFmtId="0" fontId="20" fillId="26" borderId="0" xfId="0" applyFont="1" applyFill="1" applyAlignment="1">
      <alignment vertical="center" wrapText="1"/>
    </xf>
    <xf numFmtId="0" fontId="6" fillId="23" borderId="1" xfId="0" applyFont="1" applyFill="1" applyBorder="1" applyAlignment="1">
      <alignment horizontal="left" vertical="center"/>
    </xf>
    <xf numFmtId="0" fontId="6" fillId="23" borderId="2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left" vertical="center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18" fillId="24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left" vertical="center"/>
    </xf>
    <xf numFmtId="0" fontId="8" fillId="16" borderId="4" xfId="0" applyFont="1" applyFill="1" applyBorder="1" applyAlignment="1">
      <alignment wrapText="1"/>
    </xf>
    <xf numFmtId="0" fontId="9" fillId="17" borderId="13" xfId="0" applyFont="1" applyFill="1" applyBorder="1" applyAlignment="1">
      <alignment wrapText="1"/>
    </xf>
    <xf numFmtId="0" fontId="20" fillId="33" borderId="0" xfId="0" applyFont="1" applyFill="1" applyAlignment="1">
      <alignment vertical="center" wrapText="1"/>
    </xf>
    <xf numFmtId="0" fontId="18" fillId="24" borderId="12" xfId="0" applyFont="1" applyFill="1" applyBorder="1" applyAlignment="1">
      <alignment horizontal="center" vertical="center" wrapText="1"/>
    </xf>
    <xf numFmtId="0" fontId="6" fillId="23" borderId="4" xfId="0" applyFont="1" applyFill="1" applyBorder="1" applyAlignment="1">
      <alignment vertical="center" wrapText="1"/>
    </xf>
    <xf numFmtId="0" fontId="6" fillId="29" borderId="0" xfId="0" applyFont="1" applyFill="1" applyAlignment="1">
      <alignment horizontal="left" vertical="center"/>
    </xf>
  </cellXfs>
  <cellStyles count="2">
    <cellStyle name="Comma" xfId="1" xr:uid="{00000000-0005-0000-0000-000000000000}"/>
    <cellStyle name="Normal" xfId="0" builtinId="0"/>
  </cellStyles>
  <dxfs count="26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  <dxf>
      <fill>
        <patternFill>
          <bgColor indexed="64"/>
        </patternFill>
      </fill>
    </dxf>
    <dxf>
      <font>
        <b/>
        <charset val="222"/>
      </font>
    </dxf>
    <dxf>
      <font>
        <b/>
        <charset val="222"/>
      </font>
      <alignment horizontal="center" vertical="center" textRotation="0" indent="0" justifyLastLine="0" shrinkToFit="0" readingOrder="0"/>
    </dxf>
    <dxf>
      <font>
        <b/>
        <charset val="222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z val="10"/>
        <color rgb="FF1F1F1F"/>
        <charset val="222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z val="10"/>
        <color rgb="FF1F1F1F"/>
        <charset val="222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charset val="222"/>
      </font>
      <alignment horizontal="center" vertical="center" textRotation="0" indent="0" justifyLastLine="0" shrinkToFit="0" readingOrder="0"/>
    </dxf>
    <dxf>
      <font>
        <b/>
        <charset val="222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</font>
      <fill>
        <patternFill>
          <bgColor indexed="64"/>
        </patternFill>
      </fill>
    </dxf>
    <dxf>
      <font>
        <sz val="10"/>
        <color rgb="FF1F1F1F"/>
      </font>
      <numFmt numFmtId="1" formatCode="0"/>
    </dxf>
    <dxf>
      <font>
        <u val="none"/>
        <sz val="10"/>
        <color auto="1"/>
        <name val="Carlito"/>
        <scheme val="none"/>
      </font>
      <numFmt numFmtId="192" formatCode="0.0"/>
      <fill>
        <patternFill>
          <bgColor indexed="64"/>
        </patternFill>
      </fill>
      <border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</border>
    </dxf>
  </dxfs>
  <tableStyles count="1" defaultTableStyle="TableStyleMedium2" defaultPivotStyle="PivotStyleLight16">
    <tableStyle name="Invisible" pivot="0" table="0" count="0" xr9:uid="{BA375BBB-9E13-45A2-83E4-0FE967F24F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bleDatabaseTable" displayName="CableDatabaseTable" ref="A3:J18" totalsRowShown="0">
  <tableColumns count="10">
    <tableColumn id="1" xr3:uid="{00000000-0010-0000-0000-000001000000}" name="Cable ID"/>
    <tableColumn id="2" xr3:uid="{00000000-0010-0000-0000-000002000000}" name="Project description"/>
    <tableColumn id="3" xr3:uid="{00000000-0010-0000-0000-000003000000}" name="No. cores"/>
    <tableColumn id="4" xr3:uid="{00000000-0010-0000-0000-000004000000}" name="Area (sq.mm.)"/>
    <tableColumn id="5" xr3:uid="{00000000-0010-0000-0000-000005000000}" name="Rdc @20°C (Ω/km)"/>
    <tableColumn id="6" xr3:uid="{00000000-0010-0000-0000-000006000000}" name="α (1/°C)"/>
    <tableColumn id="7" xr3:uid="{00000000-0010-0000-0000-000007000000}" name="R @ selected temp (Ω/km)"/>
    <tableColumn id="8" xr3:uid="{00000000-0010-0000-0000-000008000000}" name="X default (Ω/km)"/>
    <tableColumn id="9" xr3:uid="{00000000-0010-0000-0000-000009000000}" name="Cable status"/>
    <tableColumn id="10" xr3:uid="{00000000-0010-0000-0000-00000A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CCableDatabase" displayName="DCCableDatabase" ref="A3:O32" totalsRowShown="0">
  <autoFilter ref="A3:O32" xr:uid="{00000000-0009-0000-0100-000002000000}"/>
  <tableColumns count="15">
    <tableColumn id="1" xr3:uid="{00000000-0010-0000-0100-000001000000}" name="Cable ID"/>
    <tableColumn id="2" xr3:uid="{00000000-0010-0000-0100-000002000000}" name="Manufacturer"/>
    <tableColumn id="3" xr3:uid="{00000000-0010-0000-0100-000003000000}" name="Cable type"/>
    <tableColumn id="4" xr3:uid="{00000000-0010-0000-0100-000004000000}" name="Area (mm²)"/>
    <tableColumn id="5" xr3:uid="{00000000-0010-0000-0100-000005000000}" name="Rdc @20°C (Ω/km)"/>
    <tableColumn id="6" xr3:uid="{00000000-0010-0000-0100-000006000000}" name="Datasheet VD (mV/A/m)"/>
    <tableColumn id="7" xr3:uid="{00000000-0010-0000-0100-000007000000}" name="Ampacity free air (A)"/>
    <tableColumn id="8" xr3:uid="{00000000-0010-0000-0100-000008000000}" name="Ampacity surface (A)"/>
    <tableColumn id="9" xr3:uid="{00000000-0010-0000-0100-000009000000}" name="Ampacity two loaded / surface (A)"/>
    <tableColumn id="10" xr3:uid="{00000000-0010-0000-0100-00000A000000}" name="Rated voltage DC (kV)" dataDxfId="25"/>
    <tableColumn id="11" xr3:uid="{00000000-0010-0000-0100-00000B000000}" name="Max conductor temp (°C)"/>
    <tableColumn id="12" xr3:uid="{00000000-0010-0000-0100-00000C000000}" name="Standard length (m)"/>
    <tableColumn id="13" xr3:uid="{00000000-0010-0000-0100-00000D000000}" name="Rdc @ operating temp (Ω/km)"/>
    <tableColumn id="14" xr3:uid="{00000000-0010-0000-0100-00000E000000}" name="Loop VD @ operating temp (mV/A/m)"/>
    <tableColumn id="15" xr3:uid="{00000000-0010-0000-0100-00000F000000}" name="Source /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ACAdjustableSensitivity" displayName="tblACAdjustableSensitivity" ref="D29:K44" totalsRowShown="0">
  <tableColumns count="8">
    <tableColumn id="1" xr3:uid="{00000000-0010-0000-0200-000001000000}" name="Cable ID"/>
    <tableColumn id="2" xr3:uid="{00000000-0010-0000-0200-000002000000}" name="Cores"/>
    <tableColumn id="3" xr3:uid="{00000000-0010-0000-0200-000003000000}" name="Area (sq.mm.)" dataDxfId="24"/>
    <tableColumn id="4" xr3:uid="{00000000-0010-0000-0200-000004000000}" name="R at temp (Ω/km)"/>
    <tableColumn id="5" xr3:uid="{00000000-0010-0000-0200-000005000000}" name="X (Ω/km)"/>
    <tableColumn id="6" xr3:uid="{00000000-0010-0000-0200-000006000000}" name="Max length (m)" dataDxfId="23"/>
    <tableColumn id="7" xr3:uid="{00000000-0010-0000-0200-000007000000}" name="m per A"/>
    <tableColumn id="8" xr3:uid="{00000000-0010-0000-0200-000008000000}" name="Status /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ACStandardMVAperM" displayName="tblACStandardMVAperM" ref="D49:N67" totalsRowShown="0" headerRowDxfId="22" dataDxfId="21">
  <tableColumns count="11">
    <tableColumn id="1" xr3:uid="{00000000-0010-0000-0300-000001000000}" name="Area (mm²)" dataDxfId="20"/>
    <tableColumn id="2" xr3:uid="{00000000-0010-0000-0300-000002000000}" name="1Φ mV/A/m" dataDxfId="19"/>
    <tableColumn id="3" xr3:uid="{00000000-0010-0000-0300-000003000000}" name="3Φ mV/A/m" dataDxfId="18"/>
    <tableColumn id="4" xr3:uid="{00000000-0010-0000-0300-000004000000}" name="ΔV 1Φ (V)" dataDxfId="17"/>
    <tableColumn id="5" xr3:uid="{00000000-0010-0000-0300-000005000000}" name="ΔV 1Φ (%)" dataDxfId="16"/>
    <tableColumn id="6" xr3:uid="{00000000-0010-0000-0300-000006000000}" name="ΔV 3Φ (V)" dataDxfId="15"/>
    <tableColumn id="7" xr3:uid="{00000000-0010-0000-0300-000007000000}" name="ΔV 3Φ (%)" dataDxfId="14"/>
    <tableColumn id="8" xr3:uid="{00000000-0010-0000-0300-000008000000}" name="Loss 1Φ (W)" dataDxfId="13" dataCellStyle="Comma"/>
    <tableColumn id="9" xr3:uid="{00000000-0010-0000-0300-000009000000}" name="Loss 3Φ (W)" dataDxfId="12" dataCellStyle="Comma"/>
    <tableColumn id="10" xr3:uid="{00000000-0010-0000-0300-00000A000000}" name="Lmax 1Φ @ limit (m)" dataDxfId="11"/>
    <tableColumn id="11" xr3:uid="{00000000-0010-0000-0300-00000B000000}" name="Lmax 3Φ @ limit (m)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DCQuickReferenceAllSizes" displayName="DCQuickReferenceAllSizes" ref="A22:K51" totalsRowShown="0">
  <autoFilter ref="A22:K51" xr:uid="{00000000-0009-0000-0100-000003000000}"/>
  <tableColumns count="11">
    <tableColumn id="1" xr3:uid="{00000000-0010-0000-0400-000001000000}" name="Cable ID"/>
    <tableColumn id="2" xr3:uid="{00000000-0010-0000-0400-000002000000}" name="Manufacturer"/>
    <tableColumn id="3" xr3:uid="{00000000-0010-0000-0400-000003000000}" name="Area (mm²)"/>
    <tableColumn id="4" xr3:uid="{00000000-0010-0000-0400-000004000000}" name="Rdc @20°C"/>
    <tableColumn id="5" xr3:uid="{00000000-0010-0000-0400-000005000000}" name="Rdc @90°C"/>
    <tableColumn id="6" xr3:uid="{00000000-0010-0000-0400-000006000000}" name="Ampacity two loaded / surface"/>
    <tableColumn id="7" xr3:uid="{00000000-0010-0000-0400-000007000000}" name="10 modules Lmax (m)"/>
    <tableColumn id="8" xr3:uid="{00000000-0010-0000-0400-000008000000}" name="15 modules Lmax (m)"/>
    <tableColumn id="9" xr3:uid="{00000000-0010-0000-0400-000009000000}" name="20 modules Lmax (m)"/>
    <tableColumn id="10" xr3:uid="{00000000-0010-0000-0400-00000A000000}" name="Standard length (m)"/>
    <tableColumn id="11" xr3:uid="{00000000-0010-0000-0400-00000B000000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CSummaryCommon" displayName="DCSummaryCommon" ref="A5:L23" totalsRowShown="0">
  <autoFilter ref="A5:L23" xr:uid="{00000000-0009-0000-0100-000004000000}"/>
  <tableColumns count="12">
    <tableColumn id="1" xr3:uid="{00000000-0010-0000-0500-000001000000}" name="Modules/string"/>
    <tableColumn id="2" xr3:uid="{00000000-0010-0000-0500-000002000000}" name="String Vmp (V)"/>
    <tableColumn id="3" xr3:uid="{00000000-0010-0000-0500-000003000000}" name="String Pmp (W)"/>
    <tableColumn id="4" xr3:uid="{00000000-0010-0000-0500-000004000000}" name="Manufacturer"/>
    <tableColumn id="5" xr3:uid="{00000000-0010-0000-0500-000005000000}" name="Cable size (mm²)"/>
    <tableColumn id="6" xr3:uid="{00000000-0010-0000-0500-000006000000}" name="Lmax @1.5% (m)"/>
    <tableColumn id="7" xr3:uid="{00000000-0010-0000-0500-000007000000}" name="ΔV @50m (V)"/>
    <tableColumn id="8" xr3:uid="{00000000-0010-0000-0500-000008000000}" name="ΔV @50m (%)"/>
    <tableColumn id="9" xr3:uid="{00000000-0010-0000-0500-000009000000}" name="Power loss @50m (W)"/>
    <tableColumn id="10" xr3:uid="{00000000-0010-0000-0500-00000A000000}" name="Ampacity status"/>
    <tableColumn id="11" xr3:uid="{00000000-0010-0000-0500-00000B000000}" name="Quick use"/>
    <tableColumn id="12" xr3:uid="{00000000-0010-0000-0500-00000C000000}" name="Cable 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DCLinkedLmax" displayName="tblDCLinkedLmax" ref="A40:M58" totalsRowShown="0">
  <tableColumns count="13">
    <tableColumn id="1" xr3:uid="{00000000-0010-0000-0600-000001000000}" name="Modules/string" dataDxfId="9"/>
    <tableColumn id="2" xr3:uid="{00000000-0010-0000-0600-000002000000}" name="String Vmp (V)"/>
    <tableColumn id="3" xr3:uid="{00000000-0010-0000-0600-000003000000}" name="String Imp (A)"/>
    <tableColumn id="4" xr3:uid="{00000000-0010-0000-0600-000004000000}" name="Manufacturer"/>
    <tableColumn id="5" xr3:uid="{00000000-0010-0000-0600-000005000000}" name="Cable size (mm²)"/>
    <tableColumn id="6" xr3:uid="{00000000-0010-0000-0600-000006000000}" name="Cable ID"/>
    <tableColumn id="7" xr3:uid="{00000000-0010-0000-0600-000007000000}" name="Lmax at target (m)" dataDxfId="8"/>
    <tableColumn id="8" xr3:uid="{00000000-0010-0000-0600-000008000000}" name="Ampacity two loaded / surface (A)"/>
    <tableColumn id="9" xr3:uid="{00000000-0010-0000-0600-000009000000}" name="Vdrop target"/>
    <tableColumn id="10" xr3:uid="{00000000-0010-0000-0600-00000A000000}" name="Conductor temp (°C)"/>
    <tableColumn id="11" xr3:uid="{00000000-0010-0000-0600-00000B000000}" name="Route input (m)"/>
    <tableColumn id="12" xr3:uid="{00000000-0010-0000-0600-00000C000000}" name="Lmax margin (m)"/>
    <tableColumn id="13" xr3:uid="{00000000-0010-0000-0600-00000D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workbookViewId="0">
      <selection activeCell="C28" sqref="C28"/>
    </sheetView>
  </sheetViews>
  <sheetFormatPr defaultRowHeight="14.25"/>
  <cols>
    <col min="1" max="1" width="38" customWidth="1"/>
    <col min="2" max="2" width="49" customWidth="1"/>
    <col min="3" max="4" width="70" customWidth="1"/>
    <col min="5" max="8" width="3" customWidth="1"/>
  </cols>
  <sheetData>
    <row r="1" spans="1:8" ht="15">
      <c r="A1" s="125" t="s">
        <v>0</v>
      </c>
      <c r="B1" s="126"/>
      <c r="C1" s="126"/>
      <c r="D1" s="126"/>
      <c r="E1" s="126"/>
      <c r="F1" s="126"/>
      <c r="G1" s="126"/>
      <c r="H1" s="127"/>
    </row>
    <row r="3" spans="1:8" ht="15">
      <c r="A3" s="1" t="s">
        <v>1</v>
      </c>
      <c r="B3" s="2" t="s">
        <v>2</v>
      </c>
    </row>
    <row r="4" spans="1:8">
      <c r="A4" s="3" t="s">
        <v>3</v>
      </c>
      <c r="B4" s="58">
        <v>3.9300000000000003E-3</v>
      </c>
    </row>
    <row r="5" spans="1:8">
      <c r="A5" s="3" t="s">
        <v>4</v>
      </c>
      <c r="B5" s="58">
        <v>90</v>
      </c>
    </row>
    <row r="6" spans="1:8">
      <c r="A6" s="3" t="s">
        <v>5</v>
      </c>
      <c r="B6" s="63">
        <v>0.03</v>
      </c>
    </row>
    <row r="7" spans="1:8">
      <c r="A7" s="3" t="s">
        <v>6</v>
      </c>
      <c r="B7" s="6">
        <v>0.08</v>
      </c>
    </row>
    <row r="8" spans="1:8">
      <c r="A8" s="3" t="s">
        <v>7</v>
      </c>
      <c r="B8" s="4">
        <v>20</v>
      </c>
    </row>
    <row r="10" spans="1:8" ht="15">
      <c r="A10" s="1" t="s">
        <v>8</v>
      </c>
      <c r="B10" s="7" t="s">
        <v>9</v>
      </c>
      <c r="C10" s="7" t="s">
        <v>10</v>
      </c>
      <c r="D10" s="7" t="s">
        <v>11</v>
      </c>
      <c r="E10" s="7"/>
      <c r="F10" s="7"/>
      <c r="G10" s="7"/>
      <c r="H10" s="2"/>
    </row>
    <row r="11" spans="1:8" ht="28.5">
      <c r="A11" s="42" t="s">
        <v>12</v>
      </c>
      <c r="B11" s="42" t="s">
        <v>13</v>
      </c>
      <c r="C11" s="42" t="s">
        <v>14</v>
      </c>
      <c r="D11" s="42" t="s">
        <v>15</v>
      </c>
    </row>
    <row r="12" spans="1:8" ht="28.5">
      <c r="A12" s="42" t="s">
        <v>16</v>
      </c>
      <c r="B12" s="42" t="s">
        <v>17</v>
      </c>
      <c r="C12" s="42" t="s">
        <v>18</v>
      </c>
      <c r="D12" s="42" t="s">
        <v>19</v>
      </c>
    </row>
    <row r="13" spans="1:8" ht="28.5">
      <c r="A13" s="42" t="s">
        <v>20</v>
      </c>
      <c r="B13" s="42" t="s">
        <v>21</v>
      </c>
      <c r="C13" s="42" t="s">
        <v>22</v>
      </c>
      <c r="D13" s="42" t="s">
        <v>23</v>
      </c>
    </row>
    <row r="14" spans="1:8" ht="28.5">
      <c r="A14" s="42" t="s">
        <v>24</v>
      </c>
      <c r="B14" s="42" t="s">
        <v>25</v>
      </c>
      <c r="C14" s="42" t="s">
        <v>26</v>
      </c>
      <c r="D14" s="42" t="s">
        <v>27</v>
      </c>
    </row>
    <row r="16" spans="1:8" ht="15">
      <c r="A16" s="128" t="s">
        <v>28</v>
      </c>
      <c r="B16" s="129"/>
      <c r="C16" s="129"/>
      <c r="D16" s="129"/>
      <c r="E16" s="129"/>
      <c r="F16" s="129"/>
      <c r="G16" s="129"/>
      <c r="H16" s="130"/>
    </row>
    <row r="17" spans="1:8">
      <c r="A17" s="131" t="s">
        <v>29</v>
      </c>
      <c r="B17" s="132"/>
      <c r="C17" s="132"/>
      <c r="D17" s="132"/>
      <c r="E17" s="132"/>
      <c r="F17" s="132"/>
      <c r="G17" s="132"/>
      <c r="H17" s="133"/>
    </row>
    <row r="18" spans="1:8">
      <c r="A18" s="134" t="s">
        <v>30</v>
      </c>
      <c r="B18" s="135"/>
      <c r="C18" s="135"/>
      <c r="D18" s="135"/>
      <c r="E18" s="135"/>
      <c r="F18" s="135"/>
      <c r="G18" s="135"/>
      <c r="H18" s="136"/>
    </row>
    <row r="19" spans="1:8" ht="15">
      <c r="A19" s="28" t="s">
        <v>31</v>
      </c>
      <c r="B19" s="28" t="s">
        <v>2</v>
      </c>
      <c r="C19" s="28" t="s">
        <v>32</v>
      </c>
      <c r="D19" s="28" t="s">
        <v>33</v>
      </c>
    </row>
    <row r="20" spans="1:8">
      <c r="A20" s="23" t="s">
        <v>34</v>
      </c>
      <c r="B20" s="59">
        <v>3.9300000000000003E-3</v>
      </c>
      <c r="C20" s="23" t="s">
        <v>35</v>
      </c>
      <c r="D20" s="23" t="s">
        <v>36</v>
      </c>
    </row>
    <row r="21" spans="1:8" ht="25.5">
      <c r="A21" s="23" t="s">
        <v>37</v>
      </c>
      <c r="B21" s="60">
        <v>90</v>
      </c>
      <c r="C21" s="23" t="s">
        <v>38</v>
      </c>
      <c r="D21" s="23" t="s">
        <v>39</v>
      </c>
    </row>
    <row r="22" spans="1:8">
      <c r="A22" s="23" t="s">
        <v>40</v>
      </c>
      <c r="B22" s="62">
        <v>0.03</v>
      </c>
      <c r="C22" s="23" t="s">
        <v>41</v>
      </c>
      <c r="D22" s="23" t="s">
        <v>42</v>
      </c>
    </row>
    <row r="23" spans="1:8" ht="25.5">
      <c r="A23" s="23" t="s">
        <v>43</v>
      </c>
      <c r="B23" s="24">
        <v>10</v>
      </c>
      <c r="C23" s="23" t="s">
        <v>38</v>
      </c>
      <c r="D23" s="23" t="s">
        <v>44</v>
      </c>
    </row>
    <row r="24" spans="1:8">
      <c r="A24" s="23" t="s">
        <v>45</v>
      </c>
      <c r="B24" s="60">
        <v>1100</v>
      </c>
      <c r="C24" s="23" t="s">
        <v>46</v>
      </c>
      <c r="D24" s="23" t="s">
        <v>47</v>
      </c>
    </row>
    <row r="26" spans="1:8" ht="15">
      <c r="A26" s="21" t="s">
        <v>48</v>
      </c>
      <c r="B26" s="21" t="s">
        <v>9</v>
      </c>
      <c r="C26" s="21" t="s">
        <v>10</v>
      </c>
      <c r="D26" s="21" t="s">
        <v>11</v>
      </c>
    </row>
    <row r="27" spans="1:8" ht="25.5">
      <c r="A27" s="23" t="s">
        <v>49</v>
      </c>
      <c r="B27" s="55" t="s">
        <v>50</v>
      </c>
      <c r="C27" s="23" t="s">
        <v>51</v>
      </c>
      <c r="D27" s="23" t="s">
        <v>52</v>
      </c>
    </row>
    <row r="28" spans="1:8" ht="25.5">
      <c r="A28" s="23" t="s">
        <v>53</v>
      </c>
      <c r="B28" s="55" t="s">
        <v>54</v>
      </c>
      <c r="C28" s="23" t="s">
        <v>55</v>
      </c>
      <c r="D28" s="23" t="s">
        <v>56</v>
      </c>
    </row>
    <row r="29" spans="1:8" ht="25.5">
      <c r="A29" s="23" t="s">
        <v>57</v>
      </c>
      <c r="B29" s="55" t="s">
        <v>58</v>
      </c>
      <c r="C29" s="23" t="s">
        <v>59</v>
      </c>
      <c r="D29" s="23" t="s">
        <v>60</v>
      </c>
    </row>
    <row r="30" spans="1:8" ht="25.5">
      <c r="A30" s="23" t="s">
        <v>61</v>
      </c>
      <c r="B30" s="23" t="s">
        <v>62</v>
      </c>
      <c r="C30" s="23" t="s">
        <v>63</v>
      </c>
      <c r="D30" s="23" t="s">
        <v>64</v>
      </c>
    </row>
  </sheetData>
  <mergeCells count="4">
    <mergeCell ref="A1:H1"/>
    <mergeCell ref="A16:H16"/>
    <mergeCell ref="A17:H17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18"/>
  <sheetViews>
    <sheetView showGridLines="0" workbookViewId="0"/>
  </sheetViews>
  <sheetFormatPr defaultRowHeight="14.25"/>
  <cols>
    <col min="1" max="1" width="18" customWidth="1"/>
    <col min="2" max="2" width="53" customWidth="1"/>
    <col min="3" max="3" width="25" customWidth="1"/>
    <col min="4" max="4" width="12" customWidth="1"/>
  </cols>
  <sheetData>
    <row r="1" spans="1:4" ht="26.45" customHeight="1">
      <c r="A1" s="125" t="s">
        <v>65</v>
      </c>
      <c r="B1" s="126"/>
      <c r="C1" s="126"/>
      <c r="D1" s="127"/>
    </row>
    <row r="3" spans="1:4" ht="30">
      <c r="A3" s="9" t="s">
        <v>66</v>
      </c>
      <c r="B3" s="9" t="s">
        <v>67</v>
      </c>
      <c r="C3" s="9" t="s">
        <v>68</v>
      </c>
      <c r="D3" s="9" t="s">
        <v>69</v>
      </c>
    </row>
    <row r="4" spans="1:4">
      <c r="A4" s="8" t="s">
        <v>70</v>
      </c>
      <c r="B4" s="8" t="s">
        <v>71</v>
      </c>
      <c r="C4" s="8" t="s">
        <v>72</v>
      </c>
      <c r="D4" s="8" t="s">
        <v>73</v>
      </c>
    </row>
    <row r="5" spans="1:4">
      <c r="A5" s="8" t="s">
        <v>74</v>
      </c>
      <c r="B5" s="8" t="s">
        <v>75</v>
      </c>
      <c r="C5" s="8" t="s">
        <v>72</v>
      </c>
      <c r="D5" s="8" t="s">
        <v>73</v>
      </c>
    </row>
    <row r="6" spans="1:4">
      <c r="A6" s="8" t="s">
        <v>76</v>
      </c>
      <c r="B6" s="8" t="s">
        <v>77</v>
      </c>
      <c r="C6" s="8" t="s">
        <v>72</v>
      </c>
      <c r="D6" s="8" t="s">
        <v>73</v>
      </c>
    </row>
    <row r="7" spans="1:4">
      <c r="A7" s="8" t="s">
        <v>78</v>
      </c>
      <c r="B7" s="8" t="s">
        <v>79</v>
      </c>
      <c r="C7" s="8" t="s">
        <v>72</v>
      </c>
      <c r="D7" s="8" t="s">
        <v>73</v>
      </c>
    </row>
    <row r="8" spans="1:4">
      <c r="A8" s="8" t="s">
        <v>80</v>
      </c>
      <c r="B8" s="8" t="s">
        <v>81</v>
      </c>
      <c r="C8" s="8" t="s">
        <v>72</v>
      </c>
      <c r="D8" s="8" t="s">
        <v>73</v>
      </c>
    </row>
    <row r="9" spans="1:4">
      <c r="A9" s="8" t="s">
        <v>82</v>
      </c>
      <c r="B9" s="8" t="s">
        <v>83</v>
      </c>
      <c r="C9" s="8" t="s">
        <v>72</v>
      </c>
      <c r="D9" s="8" t="s">
        <v>73</v>
      </c>
    </row>
    <row r="10" spans="1:4">
      <c r="A10" s="8" t="s">
        <v>84</v>
      </c>
      <c r="B10" s="8" t="s">
        <v>85</v>
      </c>
      <c r="C10" s="8" t="s">
        <v>72</v>
      </c>
      <c r="D10" s="8" t="s">
        <v>73</v>
      </c>
    </row>
    <row r="11" spans="1:4">
      <c r="A11" s="8" t="s">
        <v>86</v>
      </c>
      <c r="B11" s="8" t="s">
        <v>87</v>
      </c>
      <c r="C11" s="8" t="s">
        <v>72</v>
      </c>
      <c r="D11" s="8" t="s">
        <v>73</v>
      </c>
    </row>
    <row r="12" spans="1:4">
      <c r="A12" s="8" t="s">
        <v>88</v>
      </c>
      <c r="B12" s="8" t="s">
        <v>89</v>
      </c>
      <c r="C12" s="8" t="s">
        <v>72</v>
      </c>
      <c r="D12" s="8" t="s">
        <v>73</v>
      </c>
    </row>
    <row r="13" spans="1:4">
      <c r="A13" s="8" t="s">
        <v>90</v>
      </c>
      <c r="B13" s="8" t="s">
        <v>91</v>
      </c>
      <c r="C13" s="8" t="s">
        <v>72</v>
      </c>
      <c r="D13" s="8" t="s">
        <v>73</v>
      </c>
    </row>
    <row r="14" spans="1:4">
      <c r="A14" s="8" t="s">
        <v>92</v>
      </c>
      <c r="B14" s="8" t="s">
        <v>93</v>
      </c>
      <c r="C14" s="8" t="s">
        <v>72</v>
      </c>
      <c r="D14" s="8" t="s">
        <v>73</v>
      </c>
    </row>
    <row r="15" spans="1:4">
      <c r="A15" s="8" t="s">
        <v>94</v>
      </c>
      <c r="B15" s="8" t="s">
        <v>95</v>
      </c>
      <c r="C15" s="8" t="s">
        <v>72</v>
      </c>
      <c r="D15" s="8" t="s">
        <v>73</v>
      </c>
    </row>
    <row r="16" spans="1:4">
      <c r="A16" s="8" t="s">
        <v>96</v>
      </c>
      <c r="B16" s="8" t="s">
        <v>97</v>
      </c>
      <c r="C16" s="8" t="s">
        <v>72</v>
      </c>
      <c r="D16" s="8" t="s">
        <v>73</v>
      </c>
    </row>
    <row r="17" spans="1:4">
      <c r="A17" s="8" t="s">
        <v>98</v>
      </c>
      <c r="B17" s="8" t="s">
        <v>99</v>
      </c>
      <c r="C17" s="8" t="s">
        <v>72</v>
      </c>
      <c r="D17" s="8" t="s">
        <v>73</v>
      </c>
    </row>
    <row r="18" spans="1:4">
      <c r="A18" s="8" t="s">
        <v>100</v>
      </c>
      <c r="B18" s="8" t="s">
        <v>101</v>
      </c>
      <c r="C18" s="8" t="s">
        <v>72</v>
      </c>
      <c r="D18" s="8" t="s">
        <v>73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2"/>
  <sheetViews>
    <sheetView showGridLines="0" workbookViewId="0"/>
  </sheetViews>
  <sheetFormatPr defaultRowHeight="14.25"/>
  <cols>
    <col min="1" max="1" width="34" customWidth="1"/>
    <col min="2" max="2" width="42" customWidth="1"/>
    <col min="3" max="3" width="3" customWidth="1"/>
    <col min="4" max="4" width="13" customWidth="1"/>
    <col min="5" max="9" width="12" customWidth="1"/>
    <col min="10" max="10" width="14" customWidth="1"/>
  </cols>
  <sheetData>
    <row r="1" spans="1:10" ht="24" customHeight="1">
      <c r="A1" s="137" t="s">
        <v>102</v>
      </c>
      <c r="B1" s="137" t="s">
        <v>102</v>
      </c>
      <c r="C1" s="137" t="s">
        <v>102</v>
      </c>
      <c r="D1" s="137" t="s">
        <v>102</v>
      </c>
      <c r="E1" s="137" t="s">
        <v>102</v>
      </c>
      <c r="F1" s="137" t="s">
        <v>102</v>
      </c>
      <c r="G1" s="137" t="s">
        <v>102</v>
      </c>
      <c r="H1" s="137" t="s">
        <v>102</v>
      </c>
      <c r="I1" s="137" t="s">
        <v>102</v>
      </c>
      <c r="J1" s="137" t="s">
        <v>102</v>
      </c>
    </row>
    <row r="2" spans="1:10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39" t="s">
        <v>103</v>
      </c>
      <c r="B3" s="39" t="s">
        <v>2</v>
      </c>
      <c r="C3" s="22"/>
      <c r="D3" s="138" t="s">
        <v>104</v>
      </c>
      <c r="E3" s="138" t="s">
        <v>104</v>
      </c>
      <c r="F3" s="138" t="s">
        <v>104</v>
      </c>
      <c r="G3" s="138" t="s">
        <v>104</v>
      </c>
      <c r="H3" s="138" t="s">
        <v>104</v>
      </c>
      <c r="I3" s="138" t="s">
        <v>104</v>
      </c>
      <c r="J3" s="138" t="s">
        <v>104</v>
      </c>
    </row>
    <row r="4" spans="1:10">
      <c r="A4" s="23" t="s">
        <v>105</v>
      </c>
      <c r="B4" s="56" t="s">
        <v>106</v>
      </c>
      <c r="C4" s="22"/>
      <c r="D4" s="39" t="s">
        <v>107</v>
      </c>
      <c r="E4" s="39" t="s">
        <v>108</v>
      </c>
      <c r="F4" s="39" t="s">
        <v>109</v>
      </c>
      <c r="G4" s="39" t="s">
        <v>110</v>
      </c>
      <c r="H4" s="39" t="s">
        <v>111</v>
      </c>
      <c r="I4" s="39" t="s">
        <v>112</v>
      </c>
      <c r="J4" s="39" t="s">
        <v>113</v>
      </c>
    </row>
    <row r="5" spans="1:10">
      <c r="A5" s="23" t="s">
        <v>114</v>
      </c>
      <c r="B5" s="27">
        <v>725</v>
      </c>
      <c r="C5" s="22"/>
      <c r="D5" s="31">
        <v>700</v>
      </c>
      <c r="E5" s="32">
        <v>40.42</v>
      </c>
      <c r="F5" s="32">
        <v>17.32</v>
      </c>
      <c r="G5" s="32">
        <v>48.4</v>
      </c>
      <c r="H5" s="32">
        <v>18.399999999999999</v>
      </c>
      <c r="I5" s="33">
        <v>0.22539999999999999</v>
      </c>
      <c r="J5" s="29"/>
    </row>
    <row r="6" spans="1:10">
      <c r="A6" s="23" t="s">
        <v>115</v>
      </c>
      <c r="B6" s="57">
        <v>41</v>
      </c>
      <c r="C6" s="22"/>
      <c r="D6" s="31">
        <v>705</v>
      </c>
      <c r="E6" s="32">
        <v>40.53</v>
      </c>
      <c r="F6" s="32">
        <v>17.399999999999999</v>
      </c>
      <c r="G6" s="32">
        <v>48.56</v>
      </c>
      <c r="H6" s="32">
        <v>18.46</v>
      </c>
      <c r="I6" s="33">
        <v>0.22700000000000001</v>
      </c>
      <c r="J6" s="29"/>
    </row>
    <row r="7" spans="1:10">
      <c r="A7" s="23" t="s">
        <v>116</v>
      </c>
      <c r="B7" s="57">
        <v>17.690000000000001</v>
      </c>
      <c r="C7" s="22"/>
      <c r="D7" s="31">
        <v>710</v>
      </c>
      <c r="E7" s="32">
        <v>40.65</v>
      </c>
      <c r="F7" s="32">
        <v>17.47</v>
      </c>
      <c r="G7" s="32">
        <v>48.73</v>
      </c>
      <c r="H7" s="32">
        <v>18.53</v>
      </c>
      <c r="I7" s="33">
        <v>0.2286</v>
      </c>
      <c r="J7" s="29"/>
    </row>
    <row r="8" spans="1:10">
      <c r="A8" s="23" t="s">
        <v>117</v>
      </c>
      <c r="B8" s="27">
        <v>49.2</v>
      </c>
      <c r="C8" s="22"/>
      <c r="D8" s="31">
        <v>715</v>
      </c>
      <c r="E8" s="32">
        <v>40.770000000000003</v>
      </c>
      <c r="F8" s="32">
        <v>17.54</v>
      </c>
      <c r="G8" s="32">
        <v>48.88</v>
      </c>
      <c r="H8" s="32">
        <v>18.600000000000001</v>
      </c>
      <c r="I8" s="33">
        <v>0.23019999999999999</v>
      </c>
      <c r="J8" s="29"/>
    </row>
    <row r="9" spans="1:10">
      <c r="A9" s="23" t="s">
        <v>118</v>
      </c>
      <c r="B9" s="27">
        <v>18.739999999999998</v>
      </c>
      <c r="C9" s="22"/>
      <c r="D9" s="31">
        <v>720</v>
      </c>
      <c r="E9" s="32">
        <v>40.89</v>
      </c>
      <c r="F9" s="32">
        <v>17.61</v>
      </c>
      <c r="G9" s="32">
        <v>49.04</v>
      </c>
      <c r="H9" s="32">
        <v>18.670000000000002</v>
      </c>
      <c r="I9" s="33">
        <v>0.23180000000000001</v>
      </c>
      <c r="J9" s="29"/>
    </row>
    <row r="10" spans="1:10">
      <c r="A10" s="23" t="s">
        <v>119</v>
      </c>
      <c r="B10" s="25">
        <v>0.23350000000000001</v>
      </c>
      <c r="C10" s="22"/>
      <c r="D10" s="31">
        <v>725</v>
      </c>
      <c r="E10" s="32">
        <v>41</v>
      </c>
      <c r="F10" s="32">
        <v>17.690000000000001</v>
      </c>
      <c r="G10" s="32">
        <v>49.2</v>
      </c>
      <c r="H10" s="32">
        <v>18.739999999999998</v>
      </c>
      <c r="I10" s="33">
        <v>0.23350000000000001</v>
      </c>
      <c r="J10" s="30" t="s">
        <v>120</v>
      </c>
    </row>
    <row r="11" spans="1:10">
      <c r="A11" s="23" t="s">
        <v>121</v>
      </c>
      <c r="B11" s="24">
        <v>1500</v>
      </c>
      <c r="C11" s="22"/>
      <c r="D11" s="22"/>
      <c r="E11" s="22"/>
      <c r="F11" s="22"/>
      <c r="G11" s="22"/>
      <c r="H11" s="22"/>
      <c r="I11" s="22"/>
      <c r="J11" s="22"/>
    </row>
    <row r="12" spans="1:10">
      <c r="A12" s="23" t="s">
        <v>122</v>
      </c>
      <c r="B12" s="24">
        <v>35</v>
      </c>
      <c r="C12" s="22"/>
      <c r="D12" s="139" t="s">
        <v>123</v>
      </c>
      <c r="E12" s="139" t="s">
        <v>123</v>
      </c>
      <c r="F12" s="139" t="s">
        <v>123</v>
      </c>
      <c r="G12" s="139" t="s">
        <v>123</v>
      </c>
      <c r="H12" s="139" t="s">
        <v>123</v>
      </c>
      <c r="I12" s="139" t="s">
        <v>123</v>
      </c>
      <c r="J12" s="139" t="s">
        <v>123</v>
      </c>
    </row>
    <row r="13" spans="1:10">
      <c r="A13" s="23" t="s">
        <v>124</v>
      </c>
      <c r="B13" s="26">
        <v>-2.8999999999999998E-3</v>
      </c>
      <c r="C13" s="22"/>
      <c r="D13" s="22"/>
      <c r="E13" s="22"/>
      <c r="F13" s="22"/>
      <c r="G13" s="22"/>
      <c r="H13" s="22"/>
      <c r="I13" s="22"/>
      <c r="J13" s="22"/>
    </row>
    <row r="14" spans="1:10">
      <c r="A14" s="23" t="s">
        <v>125</v>
      </c>
      <c r="B14" s="26">
        <v>-2.5000000000000001E-3</v>
      </c>
      <c r="C14" s="22"/>
      <c r="D14" s="140" t="s">
        <v>126</v>
      </c>
      <c r="E14" s="140" t="s">
        <v>126</v>
      </c>
      <c r="F14" s="140" t="s">
        <v>126</v>
      </c>
      <c r="G14" s="140" t="s">
        <v>126</v>
      </c>
      <c r="H14" s="140" t="s">
        <v>126</v>
      </c>
      <c r="I14" s="140" t="s">
        <v>126</v>
      </c>
      <c r="J14" s="140" t="s">
        <v>126</v>
      </c>
    </row>
    <row r="15" spans="1:10">
      <c r="A15" s="23" t="s">
        <v>127</v>
      </c>
      <c r="B15" s="26">
        <v>4.4999999999999999E-4</v>
      </c>
      <c r="C15" s="22"/>
      <c r="D15" s="22"/>
      <c r="E15" s="22"/>
      <c r="F15" s="22"/>
      <c r="G15" s="22"/>
      <c r="H15" s="22"/>
      <c r="I15" s="22"/>
      <c r="J15" s="22"/>
    </row>
    <row r="16" spans="1:10">
      <c r="A16" s="23" t="s">
        <v>128</v>
      </c>
      <c r="B16" s="24" t="s">
        <v>129</v>
      </c>
      <c r="C16" s="22"/>
      <c r="D16" s="22"/>
      <c r="E16" s="22"/>
      <c r="F16" s="22"/>
      <c r="G16" s="22"/>
      <c r="H16" s="22"/>
      <c r="I16" s="22"/>
      <c r="J16" s="22"/>
    </row>
    <row r="17" spans="1:10">
      <c r="A17" s="23" t="s">
        <v>130</v>
      </c>
      <c r="B17" s="24" t="s">
        <v>131</v>
      </c>
      <c r="C17" s="22"/>
      <c r="D17" s="22"/>
      <c r="E17" s="22"/>
      <c r="F17" s="22"/>
      <c r="G17" s="22"/>
      <c r="H17" s="22"/>
      <c r="I17" s="22"/>
      <c r="J17" s="22"/>
    </row>
    <row r="18" spans="1:10">
      <c r="A18" s="23" t="s">
        <v>132</v>
      </c>
      <c r="B18" s="24" t="s">
        <v>133</v>
      </c>
      <c r="C18" s="22"/>
      <c r="D18" s="22"/>
      <c r="E18" s="22"/>
      <c r="F18" s="22"/>
      <c r="G18" s="22"/>
      <c r="H18" s="22"/>
      <c r="I18" s="22"/>
      <c r="J18" s="22"/>
    </row>
    <row r="19" spans="1:10">
      <c r="A19" s="23" t="s">
        <v>134</v>
      </c>
      <c r="B19" s="24" t="s">
        <v>135</v>
      </c>
      <c r="C19" s="22"/>
      <c r="D19" s="22"/>
      <c r="E19" s="22"/>
      <c r="F19" s="22"/>
      <c r="G19" s="22"/>
      <c r="H19" s="22"/>
      <c r="I19" s="22"/>
      <c r="J19" s="22"/>
    </row>
    <row r="20" spans="1:10">
      <c r="A20" s="23" t="s">
        <v>136</v>
      </c>
      <c r="B20" s="24" t="s">
        <v>137</v>
      </c>
      <c r="C20" s="22"/>
      <c r="D20" s="22"/>
      <c r="E20" s="22"/>
      <c r="F20" s="22"/>
      <c r="G20" s="22"/>
      <c r="H20" s="22"/>
      <c r="I20" s="22"/>
      <c r="J20" s="22"/>
    </row>
    <row r="21" spans="1:10" ht="25.5">
      <c r="A21" s="23" t="s">
        <v>138</v>
      </c>
      <c r="B21" s="24" t="s">
        <v>139</v>
      </c>
      <c r="C21" s="22"/>
      <c r="D21" s="22"/>
      <c r="E21" s="22"/>
      <c r="F21" s="22"/>
      <c r="G21" s="22"/>
      <c r="H21" s="22"/>
      <c r="I21" s="22"/>
      <c r="J21" s="22"/>
    </row>
    <row r="22" spans="1:10" ht="25.5">
      <c r="A22" s="23" t="s">
        <v>140</v>
      </c>
      <c r="B22" s="24" t="s">
        <v>50</v>
      </c>
      <c r="C22" s="22"/>
      <c r="D22" s="22"/>
      <c r="E22" s="22"/>
      <c r="F22" s="22"/>
      <c r="G22" s="22"/>
      <c r="H22" s="22"/>
      <c r="I22" s="22"/>
      <c r="J22" s="22"/>
    </row>
  </sheetData>
  <mergeCells count="4">
    <mergeCell ref="A1:J1"/>
    <mergeCell ref="D3:J3"/>
    <mergeCell ref="D12:J12"/>
    <mergeCell ref="D14:J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18"/>
  <sheetViews>
    <sheetView showGridLines="0" workbookViewId="0"/>
  </sheetViews>
  <sheetFormatPr defaultRowHeight="14.25"/>
  <cols>
    <col min="1" max="1" width="18" customWidth="1"/>
    <col min="2" max="2" width="25" customWidth="1"/>
    <col min="3" max="4" width="12" customWidth="1"/>
    <col min="5" max="8" width="16" customWidth="1"/>
    <col min="9" max="9" width="22" customWidth="1"/>
    <col min="10" max="10" width="24" customWidth="1"/>
  </cols>
  <sheetData>
    <row r="1" spans="1:10" ht="15">
      <c r="A1" s="125" t="s">
        <v>141</v>
      </c>
      <c r="B1" s="126"/>
      <c r="C1" s="126"/>
      <c r="D1" s="126"/>
      <c r="E1" s="126"/>
      <c r="F1" s="126"/>
      <c r="G1" s="126"/>
      <c r="H1" s="126"/>
      <c r="I1" s="126"/>
      <c r="J1" s="127"/>
    </row>
    <row r="3" spans="1:10" ht="30">
      <c r="A3" s="9" t="s">
        <v>142</v>
      </c>
      <c r="B3" s="9" t="s">
        <v>143</v>
      </c>
      <c r="C3" s="9" t="s">
        <v>144</v>
      </c>
      <c r="D3" s="9" t="s">
        <v>145</v>
      </c>
      <c r="E3" s="9" t="s">
        <v>146</v>
      </c>
      <c r="F3" s="9" t="s">
        <v>147</v>
      </c>
      <c r="G3" s="9" t="s">
        <v>148</v>
      </c>
      <c r="H3" s="9" t="s">
        <v>149</v>
      </c>
      <c r="I3" s="9" t="s">
        <v>150</v>
      </c>
      <c r="J3" s="9" t="s">
        <v>151</v>
      </c>
    </row>
    <row r="4" spans="1:10" ht="20.100000000000001" customHeight="1">
      <c r="A4" s="42" t="s">
        <v>70</v>
      </c>
      <c r="B4" s="42" t="s">
        <v>152</v>
      </c>
      <c r="C4" s="42">
        <v>4</v>
      </c>
      <c r="D4" s="42">
        <v>10</v>
      </c>
      <c r="E4" s="52">
        <v>1.83</v>
      </c>
      <c r="F4" s="53">
        <f>'Assumptions &amp; Sources'!$B$4</f>
        <v>3.9300000000000003E-3</v>
      </c>
      <c r="G4" s="53">
        <f>E4*(1+F4*('Assumptions &amp; Sources'!$B$5-'Assumptions &amp; Sources'!$B$8))</f>
        <v>2.3334330000000003</v>
      </c>
      <c r="H4" s="52">
        <f>'Assumptions &amp; Sources'!$B$7</f>
        <v>0.08</v>
      </c>
      <c r="I4" s="42" t="s">
        <v>153</v>
      </c>
      <c r="J4" s="42" t="s">
        <v>154</v>
      </c>
    </row>
    <row r="5" spans="1:10" ht="20.100000000000001" customHeight="1">
      <c r="A5" s="42" t="s">
        <v>74</v>
      </c>
      <c r="B5" s="42" t="s">
        <v>155</v>
      </c>
      <c r="C5" s="42">
        <v>1</v>
      </c>
      <c r="D5" s="42">
        <v>16</v>
      </c>
      <c r="E5" s="52">
        <v>1.1499999999999999</v>
      </c>
      <c r="F5" s="53">
        <f>'Assumptions &amp; Sources'!$B$4</f>
        <v>3.9300000000000003E-3</v>
      </c>
      <c r="G5" s="53">
        <f>E5*(1+F5*('Assumptions &amp; Sources'!$B$5-'Assumptions &amp; Sources'!$B$8))</f>
        <v>1.4663649999999999</v>
      </c>
      <c r="H5" s="52">
        <f>'Assumptions &amp; Sources'!$B$7</f>
        <v>0.08</v>
      </c>
      <c r="I5" s="42" t="s">
        <v>153</v>
      </c>
      <c r="J5" s="42" t="s">
        <v>154</v>
      </c>
    </row>
    <row r="6" spans="1:10" ht="20.100000000000001" customHeight="1">
      <c r="A6" s="42" t="s">
        <v>76</v>
      </c>
      <c r="B6" s="42" t="s">
        <v>152</v>
      </c>
      <c r="C6" s="42">
        <v>4</v>
      </c>
      <c r="D6" s="42">
        <v>16</v>
      </c>
      <c r="E6" s="52">
        <v>1.1499999999999999</v>
      </c>
      <c r="F6" s="53">
        <f>'Assumptions &amp; Sources'!$B$4</f>
        <v>3.9300000000000003E-3</v>
      </c>
      <c r="G6" s="53">
        <f>E6*(1+F6*('Assumptions &amp; Sources'!$B$5-'Assumptions &amp; Sources'!$B$8))</f>
        <v>1.4663649999999999</v>
      </c>
      <c r="H6" s="52">
        <f>'Assumptions &amp; Sources'!$B$7</f>
        <v>0.08</v>
      </c>
      <c r="I6" s="42" t="s">
        <v>153</v>
      </c>
      <c r="J6" s="42" t="s">
        <v>154</v>
      </c>
    </row>
    <row r="7" spans="1:10" ht="20.100000000000001" customHeight="1">
      <c r="A7" s="42" t="s">
        <v>78</v>
      </c>
      <c r="B7" s="42" t="s">
        <v>155</v>
      </c>
      <c r="C7" s="42">
        <v>1</v>
      </c>
      <c r="D7" s="42">
        <v>25</v>
      </c>
      <c r="E7" s="52">
        <v>0.72699999999999998</v>
      </c>
      <c r="F7" s="53">
        <f>'Assumptions &amp; Sources'!$B$4</f>
        <v>3.9300000000000003E-3</v>
      </c>
      <c r="G7" s="53">
        <f>E7*(1+F7*('Assumptions &amp; Sources'!$B$5-'Assumptions &amp; Sources'!$B$8))</f>
        <v>0.92699770000000004</v>
      </c>
      <c r="H7" s="52">
        <f>'Assumptions &amp; Sources'!$B$7</f>
        <v>0.08</v>
      </c>
      <c r="I7" s="42" t="s">
        <v>153</v>
      </c>
      <c r="J7" s="42" t="s">
        <v>154</v>
      </c>
    </row>
    <row r="8" spans="1:10" ht="20.100000000000001" customHeight="1">
      <c r="A8" s="42" t="s">
        <v>80</v>
      </c>
      <c r="B8" s="42" t="s">
        <v>152</v>
      </c>
      <c r="C8" s="42">
        <v>4</v>
      </c>
      <c r="D8" s="42">
        <v>25</v>
      </c>
      <c r="E8" s="52">
        <v>0.72699999999999998</v>
      </c>
      <c r="F8" s="53">
        <f>'Assumptions &amp; Sources'!$B$4</f>
        <v>3.9300000000000003E-3</v>
      </c>
      <c r="G8" s="53">
        <f>E8*(1+F8*('Assumptions &amp; Sources'!$B$5-'Assumptions &amp; Sources'!$B$8))</f>
        <v>0.92699770000000004</v>
      </c>
      <c r="H8" s="52">
        <f>'Assumptions &amp; Sources'!$B$7</f>
        <v>0.08</v>
      </c>
      <c r="I8" s="42" t="s">
        <v>153</v>
      </c>
      <c r="J8" s="42" t="s">
        <v>154</v>
      </c>
    </row>
    <row r="9" spans="1:10" ht="20.100000000000001" customHeight="1">
      <c r="A9" s="42" t="s">
        <v>82</v>
      </c>
      <c r="B9" s="42" t="s">
        <v>155</v>
      </c>
      <c r="C9" s="42">
        <v>1</v>
      </c>
      <c r="D9" s="42">
        <v>35</v>
      </c>
      <c r="E9" s="52">
        <v>0.52400000000000002</v>
      </c>
      <c r="F9" s="53">
        <f>'Assumptions &amp; Sources'!$B$4</f>
        <v>3.9300000000000003E-3</v>
      </c>
      <c r="G9" s="53">
        <f>E9*(1+F9*('Assumptions &amp; Sources'!$B$5-'Assumptions &amp; Sources'!$B$8))</f>
        <v>0.66815240000000009</v>
      </c>
      <c r="H9" s="52">
        <f>'Assumptions &amp; Sources'!$B$7</f>
        <v>0.08</v>
      </c>
      <c r="I9" s="42" t="s">
        <v>153</v>
      </c>
      <c r="J9" s="42" t="s">
        <v>154</v>
      </c>
    </row>
    <row r="10" spans="1:10" ht="20.100000000000001" customHeight="1">
      <c r="A10" s="42" t="s">
        <v>84</v>
      </c>
      <c r="B10" s="42" t="s">
        <v>152</v>
      </c>
      <c r="C10" s="42">
        <v>4</v>
      </c>
      <c r="D10" s="42">
        <v>35</v>
      </c>
      <c r="E10" s="52">
        <v>0.52400000000000002</v>
      </c>
      <c r="F10" s="53">
        <f>'Assumptions &amp; Sources'!$B$4</f>
        <v>3.9300000000000003E-3</v>
      </c>
      <c r="G10" s="53">
        <f>E10*(1+F10*('Assumptions &amp; Sources'!$B$5-'Assumptions &amp; Sources'!$B$8))</f>
        <v>0.66815240000000009</v>
      </c>
      <c r="H10" s="52">
        <f>'Assumptions &amp; Sources'!$B$7</f>
        <v>0.08</v>
      </c>
      <c r="I10" s="42" t="s">
        <v>153</v>
      </c>
      <c r="J10" s="42" t="s">
        <v>154</v>
      </c>
    </row>
    <row r="11" spans="1:10" ht="20.100000000000001" customHeight="1">
      <c r="A11" s="42" t="s">
        <v>86</v>
      </c>
      <c r="B11" s="42" t="s">
        <v>155</v>
      </c>
      <c r="C11" s="42">
        <v>1</v>
      </c>
      <c r="D11" s="42">
        <v>50</v>
      </c>
      <c r="E11" s="52">
        <v>0.38700000000000001</v>
      </c>
      <c r="F11" s="53">
        <f>'Assumptions &amp; Sources'!$B$4</f>
        <v>3.9300000000000003E-3</v>
      </c>
      <c r="G11" s="53">
        <f>E11*(1+F11*('Assumptions &amp; Sources'!$B$5-'Assumptions &amp; Sources'!$B$8))</f>
        <v>0.49346370000000006</v>
      </c>
      <c r="H11" s="52">
        <f>'Assumptions &amp; Sources'!$B$7</f>
        <v>0.08</v>
      </c>
      <c r="I11" s="42" t="s">
        <v>153</v>
      </c>
      <c r="J11" s="42" t="s">
        <v>154</v>
      </c>
    </row>
    <row r="12" spans="1:10" ht="20.100000000000001" customHeight="1">
      <c r="A12" s="42" t="s">
        <v>88</v>
      </c>
      <c r="B12" s="42" t="s">
        <v>155</v>
      </c>
      <c r="C12" s="42">
        <v>1</v>
      </c>
      <c r="D12" s="42">
        <v>70</v>
      </c>
      <c r="E12" s="52">
        <v>0.26800000000000002</v>
      </c>
      <c r="F12" s="53">
        <f>'Assumptions &amp; Sources'!$B$4</f>
        <v>3.9300000000000003E-3</v>
      </c>
      <c r="G12" s="53">
        <f>E12*(1+F12*('Assumptions &amp; Sources'!$B$5-'Assumptions &amp; Sources'!$B$8))</f>
        <v>0.34172680000000005</v>
      </c>
      <c r="H12" s="52">
        <f>'Assumptions &amp; Sources'!$B$7</f>
        <v>0.08</v>
      </c>
      <c r="I12" s="42" t="s">
        <v>153</v>
      </c>
      <c r="J12" s="42" t="s">
        <v>154</v>
      </c>
    </row>
    <row r="13" spans="1:10" ht="20.100000000000001" customHeight="1">
      <c r="A13" s="42" t="s">
        <v>90</v>
      </c>
      <c r="B13" s="42" t="s">
        <v>152</v>
      </c>
      <c r="C13" s="42">
        <v>4</v>
      </c>
      <c r="D13" s="42">
        <v>70</v>
      </c>
      <c r="E13" s="52">
        <v>0.26800000000000002</v>
      </c>
      <c r="F13" s="53">
        <f>'Assumptions &amp; Sources'!$B$4</f>
        <v>3.9300000000000003E-3</v>
      </c>
      <c r="G13" s="53">
        <f>E13*(1+F13*('Assumptions &amp; Sources'!$B$5-'Assumptions &amp; Sources'!$B$8))</f>
        <v>0.34172680000000005</v>
      </c>
      <c r="H13" s="52">
        <f>'Assumptions &amp; Sources'!$B$7</f>
        <v>0.08</v>
      </c>
      <c r="I13" s="42" t="s">
        <v>153</v>
      </c>
      <c r="J13" s="42" t="s">
        <v>154</v>
      </c>
    </row>
    <row r="14" spans="1:10" ht="20.100000000000001" customHeight="1">
      <c r="A14" s="42" t="s">
        <v>92</v>
      </c>
      <c r="B14" s="42" t="s">
        <v>155</v>
      </c>
      <c r="C14" s="42">
        <v>1</v>
      </c>
      <c r="D14" s="42">
        <v>95</v>
      </c>
      <c r="E14" s="52">
        <v>0.193</v>
      </c>
      <c r="F14" s="53">
        <f>'Assumptions &amp; Sources'!$B$4</f>
        <v>3.9300000000000003E-3</v>
      </c>
      <c r="G14" s="53">
        <f>E14*(1+F14*('Assumptions &amp; Sources'!$B$5-'Assumptions &amp; Sources'!$B$8))</f>
        <v>0.24609430000000004</v>
      </c>
      <c r="H14" s="52">
        <f>'Assumptions &amp; Sources'!$B$7</f>
        <v>0.08</v>
      </c>
      <c r="I14" s="42" t="s">
        <v>153</v>
      </c>
      <c r="J14" s="42" t="s">
        <v>154</v>
      </c>
    </row>
    <row r="15" spans="1:10" ht="20.100000000000001" customHeight="1">
      <c r="A15" s="42" t="s">
        <v>94</v>
      </c>
      <c r="B15" s="42" t="s">
        <v>155</v>
      </c>
      <c r="C15" s="42">
        <v>1</v>
      </c>
      <c r="D15" s="42">
        <v>120</v>
      </c>
      <c r="E15" s="52">
        <v>0.153</v>
      </c>
      <c r="F15" s="53">
        <f>'Assumptions &amp; Sources'!$B$4</f>
        <v>3.9300000000000003E-3</v>
      </c>
      <c r="G15" s="53">
        <f>E15*(1+F15*('Assumptions &amp; Sources'!$B$5-'Assumptions &amp; Sources'!$B$8))</f>
        <v>0.19509030000000002</v>
      </c>
      <c r="H15" s="52">
        <f>'Assumptions &amp; Sources'!$B$7</f>
        <v>0.08</v>
      </c>
      <c r="I15" s="42" t="s">
        <v>153</v>
      </c>
      <c r="J15" s="42" t="s">
        <v>154</v>
      </c>
    </row>
    <row r="16" spans="1:10" ht="20.100000000000001" customHeight="1">
      <c r="A16" s="42" t="s">
        <v>96</v>
      </c>
      <c r="B16" s="42" t="s">
        <v>155</v>
      </c>
      <c r="C16" s="42">
        <v>1</v>
      </c>
      <c r="D16" s="42">
        <v>150</v>
      </c>
      <c r="E16" s="52">
        <v>0.124</v>
      </c>
      <c r="F16" s="53">
        <f>'Assumptions &amp; Sources'!$B$4</f>
        <v>3.9300000000000003E-3</v>
      </c>
      <c r="G16" s="53">
        <f>E16*(1+F16*('Assumptions &amp; Sources'!$B$5-'Assumptions &amp; Sources'!$B$8))</f>
        <v>0.15811240000000001</v>
      </c>
      <c r="H16" s="52">
        <f>'Assumptions &amp; Sources'!$B$7</f>
        <v>0.08</v>
      </c>
      <c r="I16" s="42" t="s">
        <v>153</v>
      </c>
      <c r="J16" s="42" t="s">
        <v>154</v>
      </c>
    </row>
    <row r="17" spans="1:10" ht="20.100000000000001" customHeight="1">
      <c r="A17" s="42" t="s">
        <v>98</v>
      </c>
      <c r="B17" s="42" t="s">
        <v>155</v>
      </c>
      <c r="C17" s="42">
        <v>1</v>
      </c>
      <c r="D17" s="42">
        <v>185</v>
      </c>
      <c r="E17" s="52">
        <v>9.9099999999999994E-2</v>
      </c>
      <c r="F17" s="53">
        <f>'Assumptions &amp; Sources'!$B$4</f>
        <v>3.9300000000000003E-3</v>
      </c>
      <c r="G17" s="53">
        <f>E17*(1+F17*('Assumptions &amp; Sources'!$B$5-'Assumptions &amp; Sources'!$B$8))</f>
        <v>0.12636241000000001</v>
      </c>
      <c r="H17" s="52">
        <f>'Assumptions &amp; Sources'!$B$7</f>
        <v>0.08</v>
      </c>
      <c r="I17" s="42" t="s">
        <v>153</v>
      </c>
      <c r="J17" s="42" t="s">
        <v>154</v>
      </c>
    </row>
    <row r="18" spans="1:10" ht="20.100000000000001" customHeight="1">
      <c r="A18" s="42" t="s">
        <v>100</v>
      </c>
      <c r="B18" s="42" t="s">
        <v>155</v>
      </c>
      <c r="C18" s="42">
        <v>1</v>
      </c>
      <c r="D18" s="42">
        <v>240</v>
      </c>
      <c r="E18" s="52">
        <v>7.5399999999999995E-2</v>
      </c>
      <c r="F18" s="53">
        <f>'Assumptions &amp; Sources'!$B$4</f>
        <v>3.9300000000000003E-3</v>
      </c>
      <c r="G18" s="53">
        <f>E18*(1+F18*('Assumptions &amp; Sources'!$B$5-'Assumptions &amp; Sources'!$B$8))</f>
        <v>9.6142539999999999E-2</v>
      </c>
      <c r="H18" s="52">
        <f>'Assumptions &amp; Sources'!$B$7</f>
        <v>0.08</v>
      </c>
      <c r="I18" s="42" t="s">
        <v>153</v>
      </c>
      <c r="J18" s="42" t="s">
        <v>154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O32"/>
  <sheetViews>
    <sheetView showGridLines="0" workbookViewId="0"/>
  </sheetViews>
  <sheetFormatPr defaultRowHeight="14.25"/>
  <cols>
    <col min="1" max="1" width="34" customWidth="1"/>
    <col min="2" max="2" width="16" customWidth="1"/>
    <col min="3" max="3" width="14" customWidth="1"/>
    <col min="4" max="4" width="12" customWidth="1"/>
    <col min="5" max="5" width="17" customWidth="1"/>
    <col min="6" max="6" width="18" customWidth="1"/>
    <col min="7" max="7" width="17" customWidth="1"/>
    <col min="8" max="8" width="19" customWidth="1"/>
    <col min="9" max="9" width="25" customWidth="1"/>
    <col min="10" max="10" width="17" customWidth="1"/>
    <col min="11" max="11" width="19" customWidth="1"/>
    <col min="12" max="12" width="16" customWidth="1"/>
    <col min="13" max="13" width="22" customWidth="1"/>
    <col min="14" max="14" width="24" customWidth="1"/>
    <col min="15" max="15" width="48" customWidth="1"/>
  </cols>
  <sheetData>
    <row r="1" spans="1:15" ht="24" customHeight="1">
      <c r="A1" s="137" t="s">
        <v>156</v>
      </c>
      <c r="B1" s="137" t="s">
        <v>156</v>
      </c>
      <c r="C1" s="137" t="s">
        <v>156</v>
      </c>
      <c r="D1" s="137" t="s">
        <v>156</v>
      </c>
      <c r="E1" s="137" t="s">
        <v>156</v>
      </c>
      <c r="F1" s="137" t="s">
        <v>156</v>
      </c>
      <c r="G1" s="137" t="s">
        <v>156</v>
      </c>
      <c r="H1" s="137" t="s">
        <v>156</v>
      </c>
      <c r="I1" s="137" t="s">
        <v>156</v>
      </c>
      <c r="J1" s="137" t="s">
        <v>156</v>
      </c>
      <c r="K1" s="137" t="s">
        <v>156</v>
      </c>
      <c r="L1" s="137" t="s">
        <v>156</v>
      </c>
      <c r="M1" s="137" t="s">
        <v>156</v>
      </c>
      <c r="N1" s="137" t="s">
        <v>156</v>
      </c>
      <c r="O1" s="137" t="s">
        <v>156</v>
      </c>
    </row>
    <row r="2" spans="1:15" ht="14.25" customHeight="1">
      <c r="A2" s="74" t="s">
        <v>157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75">
        <f>'DC Calculator'!B10</f>
        <v>90</v>
      </c>
      <c r="N2" s="41"/>
      <c r="O2" s="41"/>
    </row>
    <row r="3" spans="1:15" ht="25.5">
      <c r="A3" s="39" t="s">
        <v>142</v>
      </c>
      <c r="B3" s="39" t="s">
        <v>158</v>
      </c>
      <c r="C3" s="39" t="s">
        <v>159</v>
      </c>
      <c r="D3" s="39" t="s">
        <v>160</v>
      </c>
      <c r="E3" s="39" t="s">
        <v>146</v>
      </c>
      <c r="F3" s="39" t="s">
        <v>161</v>
      </c>
      <c r="G3" s="39" t="s">
        <v>162</v>
      </c>
      <c r="H3" s="39" t="s">
        <v>163</v>
      </c>
      <c r="I3" s="39" t="s">
        <v>164</v>
      </c>
      <c r="J3" s="39" t="s">
        <v>165</v>
      </c>
      <c r="K3" s="39" t="s">
        <v>166</v>
      </c>
      <c r="L3" s="39" t="s">
        <v>167</v>
      </c>
      <c r="M3" s="39" t="s">
        <v>168</v>
      </c>
      <c r="N3" s="39" t="s">
        <v>169</v>
      </c>
      <c r="O3" s="39" t="s">
        <v>170</v>
      </c>
    </row>
    <row r="4" spans="1:15" ht="20.100000000000001" customHeight="1">
      <c r="A4" s="54" t="s">
        <v>171</v>
      </c>
      <c r="B4" s="54" t="s">
        <v>172</v>
      </c>
      <c r="C4" s="54" t="s">
        <v>173</v>
      </c>
      <c r="D4" s="61">
        <v>2.5</v>
      </c>
      <c r="E4" s="35">
        <v>8.2100000000000009</v>
      </c>
      <c r="F4" s="35">
        <v>20.94</v>
      </c>
      <c r="G4" s="37">
        <v>41</v>
      </c>
      <c r="H4" s="37">
        <v>39</v>
      </c>
      <c r="I4" s="37">
        <v>33</v>
      </c>
      <c r="J4" s="67">
        <v>1.5</v>
      </c>
      <c r="K4" s="37">
        <v>120</v>
      </c>
      <c r="L4" s="37">
        <v>200</v>
      </c>
      <c r="M4" s="36">
        <f>E4*(1+'Assumptions &amp; Sources'!$B$20*('DC Calculator'!$B$10-'Assumptions &amp; Sources'!$B$8))</f>
        <v>10.468571000000003</v>
      </c>
      <c r="N4" s="36">
        <f t="shared" ref="N4:N32" si="0">2*M4</f>
        <v>20.937142000000005</v>
      </c>
      <c r="O4" s="23" t="s">
        <v>174</v>
      </c>
    </row>
    <row r="5" spans="1:15" ht="20.100000000000001" customHeight="1">
      <c r="A5" s="54" t="s">
        <v>175</v>
      </c>
      <c r="B5" s="54" t="s">
        <v>172</v>
      </c>
      <c r="C5" s="54" t="s">
        <v>173</v>
      </c>
      <c r="D5" s="61">
        <v>4</v>
      </c>
      <c r="E5" s="35">
        <v>5.09</v>
      </c>
      <c r="F5" s="35">
        <v>12.98</v>
      </c>
      <c r="G5" s="37">
        <v>55</v>
      </c>
      <c r="H5" s="37">
        <v>52</v>
      </c>
      <c r="I5" s="37">
        <v>44</v>
      </c>
      <c r="J5" s="67">
        <v>1.5</v>
      </c>
      <c r="K5" s="37">
        <v>120</v>
      </c>
      <c r="L5" s="37">
        <v>200</v>
      </c>
      <c r="M5" s="36">
        <f>E5*(1+'Assumptions &amp; Sources'!$B$20*('DC Calculator'!$B$10-'Assumptions &amp; Sources'!$B$8))</f>
        <v>6.490259</v>
      </c>
      <c r="N5" s="36">
        <f t="shared" si="0"/>
        <v>12.980518</v>
      </c>
      <c r="O5" s="23" t="s">
        <v>174</v>
      </c>
    </row>
    <row r="6" spans="1:15" ht="20.100000000000001" customHeight="1">
      <c r="A6" s="54" t="s">
        <v>176</v>
      </c>
      <c r="B6" s="54" t="s">
        <v>172</v>
      </c>
      <c r="C6" s="54" t="s">
        <v>173</v>
      </c>
      <c r="D6" s="61">
        <v>6</v>
      </c>
      <c r="E6" s="35">
        <v>3.39</v>
      </c>
      <c r="F6" s="35">
        <v>8.65</v>
      </c>
      <c r="G6" s="37">
        <v>70</v>
      </c>
      <c r="H6" s="37">
        <v>67</v>
      </c>
      <c r="I6" s="37">
        <v>57</v>
      </c>
      <c r="J6" s="67">
        <v>1.5</v>
      </c>
      <c r="K6" s="37">
        <v>120</v>
      </c>
      <c r="L6" s="37">
        <v>100</v>
      </c>
      <c r="M6" s="36">
        <f>E6*(1+'Assumptions &amp; Sources'!$B$20*('DC Calculator'!$B$10-'Assumptions &amp; Sources'!$B$8))</f>
        <v>4.3225890000000007</v>
      </c>
      <c r="N6" s="36">
        <f t="shared" si="0"/>
        <v>8.6451780000000014</v>
      </c>
      <c r="O6" s="23" t="s">
        <v>174</v>
      </c>
    </row>
    <row r="7" spans="1:15" ht="20.100000000000001" customHeight="1">
      <c r="A7" s="54" t="s">
        <v>177</v>
      </c>
      <c r="B7" s="54" t="s">
        <v>172</v>
      </c>
      <c r="C7" s="54" t="s">
        <v>173</v>
      </c>
      <c r="D7" s="61">
        <v>10</v>
      </c>
      <c r="E7" s="35">
        <v>1.95</v>
      </c>
      <c r="F7" s="35">
        <v>4.97</v>
      </c>
      <c r="G7" s="37">
        <v>98</v>
      </c>
      <c r="H7" s="37">
        <v>93</v>
      </c>
      <c r="I7" s="37">
        <v>79</v>
      </c>
      <c r="J7" s="67">
        <v>1.5</v>
      </c>
      <c r="K7" s="37">
        <v>120</v>
      </c>
      <c r="L7" s="37">
        <v>100</v>
      </c>
      <c r="M7" s="36">
        <f>E7*(1+'Assumptions &amp; Sources'!$B$20*('DC Calculator'!$B$10-'Assumptions &amp; Sources'!$B$8))</f>
        <v>2.4864450000000002</v>
      </c>
      <c r="N7" s="36">
        <f t="shared" si="0"/>
        <v>4.9728900000000005</v>
      </c>
      <c r="O7" s="23" t="s">
        <v>174</v>
      </c>
    </row>
    <row r="8" spans="1:15" ht="20.100000000000001" customHeight="1">
      <c r="A8" s="54" t="s">
        <v>178</v>
      </c>
      <c r="B8" s="54" t="s">
        <v>172</v>
      </c>
      <c r="C8" s="54" t="s">
        <v>173</v>
      </c>
      <c r="D8" s="61">
        <v>16</v>
      </c>
      <c r="E8" s="35">
        <v>1.24</v>
      </c>
      <c r="F8" s="35">
        <v>3.16</v>
      </c>
      <c r="G8" s="37">
        <v>132</v>
      </c>
      <c r="H8" s="37">
        <v>125</v>
      </c>
      <c r="I8" s="37">
        <v>107</v>
      </c>
      <c r="J8" s="67">
        <v>1.5</v>
      </c>
      <c r="K8" s="37">
        <v>120</v>
      </c>
      <c r="L8" s="37">
        <v>100</v>
      </c>
      <c r="M8" s="36">
        <f>E8*(1+'Assumptions &amp; Sources'!$B$20*('DC Calculator'!$B$10-'Assumptions &amp; Sources'!$B$8))</f>
        <v>1.5811240000000002</v>
      </c>
      <c r="N8" s="36">
        <f t="shared" si="0"/>
        <v>3.1622480000000004</v>
      </c>
      <c r="O8" s="23" t="s">
        <v>174</v>
      </c>
    </row>
    <row r="9" spans="1:15" ht="20.100000000000001" customHeight="1">
      <c r="A9" s="54" t="s">
        <v>179</v>
      </c>
      <c r="B9" s="54" t="s">
        <v>172</v>
      </c>
      <c r="C9" s="54" t="s">
        <v>173</v>
      </c>
      <c r="D9" s="61">
        <v>25</v>
      </c>
      <c r="E9" s="35">
        <v>0.79500000000000004</v>
      </c>
      <c r="F9" s="35">
        <v>2.0299999999999998</v>
      </c>
      <c r="G9" s="37">
        <v>176</v>
      </c>
      <c r="H9" s="37">
        <v>167</v>
      </c>
      <c r="I9" s="37">
        <v>142</v>
      </c>
      <c r="J9" s="67">
        <v>1.5</v>
      </c>
      <c r="K9" s="37">
        <v>120</v>
      </c>
      <c r="L9" s="37">
        <v>100</v>
      </c>
      <c r="M9" s="36">
        <f>E9*(1+'Assumptions &amp; Sources'!$B$20*('DC Calculator'!$B$10-'Assumptions &amp; Sources'!$B$8))</f>
        <v>1.0137045000000002</v>
      </c>
      <c r="N9" s="36">
        <f t="shared" si="0"/>
        <v>2.0274090000000005</v>
      </c>
      <c r="O9" s="23" t="s">
        <v>174</v>
      </c>
    </row>
    <row r="10" spans="1:15" ht="20.100000000000001" customHeight="1">
      <c r="A10" s="54" t="s">
        <v>180</v>
      </c>
      <c r="B10" s="54" t="s">
        <v>172</v>
      </c>
      <c r="C10" s="54" t="s">
        <v>173</v>
      </c>
      <c r="D10" s="61">
        <v>35</v>
      </c>
      <c r="E10" s="35">
        <v>0.56499999999999995</v>
      </c>
      <c r="F10" s="35">
        <v>1.44</v>
      </c>
      <c r="G10" s="37">
        <v>218</v>
      </c>
      <c r="H10" s="37">
        <v>207</v>
      </c>
      <c r="I10" s="37">
        <v>176</v>
      </c>
      <c r="J10" s="67">
        <v>1.5</v>
      </c>
      <c r="K10" s="37">
        <v>120</v>
      </c>
      <c r="L10" s="37">
        <v>100</v>
      </c>
      <c r="M10" s="36">
        <f>E10*(1+'Assumptions &amp; Sources'!$B$20*('DC Calculator'!$B$10-'Assumptions &amp; Sources'!$B$8))</f>
        <v>0.7204315</v>
      </c>
      <c r="N10" s="36">
        <f t="shared" si="0"/>
        <v>1.440863</v>
      </c>
      <c r="O10" s="23" t="s">
        <v>174</v>
      </c>
    </row>
    <row r="11" spans="1:15" ht="20.100000000000001" customHeight="1">
      <c r="A11" s="54" t="s">
        <v>181</v>
      </c>
      <c r="B11" s="54" t="s">
        <v>172</v>
      </c>
      <c r="C11" s="54" t="s">
        <v>173</v>
      </c>
      <c r="D11" s="61">
        <v>50</v>
      </c>
      <c r="E11" s="35">
        <v>0.39300000000000002</v>
      </c>
      <c r="F11" s="35">
        <v>1</v>
      </c>
      <c r="G11" s="37">
        <v>276</v>
      </c>
      <c r="H11" s="37">
        <v>262</v>
      </c>
      <c r="I11" s="37">
        <v>221</v>
      </c>
      <c r="J11" s="67">
        <v>1.5</v>
      </c>
      <c r="K11" s="37">
        <v>120</v>
      </c>
      <c r="L11" s="37">
        <v>100</v>
      </c>
      <c r="M11" s="36">
        <f>E11*(1+'Assumptions &amp; Sources'!$B$20*('DC Calculator'!$B$10-'Assumptions &amp; Sources'!$B$8))</f>
        <v>0.50111430000000012</v>
      </c>
      <c r="N11" s="36">
        <f t="shared" si="0"/>
        <v>1.0022286000000002</v>
      </c>
      <c r="O11" s="23" t="s">
        <v>174</v>
      </c>
    </row>
    <row r="12" spans="1:15" ht="20.100000000000001" customHeight="1">
      <c r="A12" s="54" t="s">
        <v>182</v>
      </c>
      <c r="B12" s="54" t="s">
        <v>172</v>
      </c>
      <c r="C12" s="54" t="s">
        <v>173</v>
      </c>
      <c r="D12" s="61">
        <v>70</v>
      </c>
      <c r="E12" s="35">
        <v>0.27700000000000002</v>
      </c>
      <c r="F12" s="35">
        <v>0.71</v>
      </c>
      <c r="G12" s="37">
        <v>347</v>
      </c>
      <c r="H12" s="37">
        <v>330</v>
      </c>
      <c r="I12" s="37">
        <v>278</v>
      </c>
      <c r="J12" s="67">
        <v>1.5</v>
      </c>
      <c r="K12" s="37">
        <v>120</v>
      </c>
      <c r="L12" s="37">
        <v>500</v>
      </c>
      <c r="M12" s="36">
        <f>E12*(1+'Assumptions &amp; Sources'!$B$20*('DC Calculator'!$B$10-'Assumptions &amp; Sources'!$B$8))</f>
        <v>0.35320270000000009</v>
      </c>
      <c r="N12" s="36">
        <f t="shared" si="0"/>
        <v>0.70640540000000018</v>
      </c>
      <c r="O12" s="23" t="s">
        <v>174</v>
      </c>
    </row>
    <row r="13" spans="1:15" ht="20.100000000000001" customHeight="1">
      <c r="A13" s="54" t="s">
        <v>183</v>
      </c>
      <c r="B13" s="54" t="s">
        <v>172</v>
      </c>
      <c r="C13" s="54" t="s">
        <v>173</v>
      </c>
      <c r="D13" s="61">
        <v>95</v>
      </c>
      <c r="E13" s="35">
        <v>0.21</v>
      </c>
      <c r="F13" s="35">
        <v>0.54</v>
      </c>
      <c r="G13" s="37">
        <v>416</v>
      </c>
      <c r="H13" s="37">
        <v>395</v>
      </c>
      <c r="I13" s="37">
        <v>333</v>
      </c>
      <c r="J13" s="67">
        <v>1.5</v>
      </c>
      <c r="K13" s="37">
        <v>120</v>
      </c>
      <c r="L13" s="37">
        <v>500</v>
      </c>
      <c r="M13" s="36">
        <f>E13*(1+'Assumptions &amp; Sources'!$B$20*('DC Calculator'!$B$10-'Assumptions &amp; Sources'!$B$8))</f>
        <v>0.26777100000000004</v>
      </c>
      <c r="N13" s="36">
        <f t="shared" si="0"/>
        <v>0.53554200000000007</v>
      </c>
      <c r="O13" s="23" t="s">
        <v>174</v>
      </c>
    </row>
    <row r="14" spans="1:15" ht="20.100000000000001" customHeight="1">
      <c r="A14" s="54" t="s">
        <v>184</v>
      </c>
      <c r="B14" s="54" t="s">
        <v>172</v>
      </c>
      <c r="C14" s="54" t="s">
        <v>173</v>
      </c>
      <c r="D14" s="61">
        <v>120</v>
      </c>
      <c r="E14" s="35">
        <v>0.16400000000000001</v>
      </c>
      <c r="F14" s="35">
        <v>0.42</v>
      </c>
      <c r="G14" s="37">
        <v>488</v>
      </c>
      <c r="H14" s="37">
        <v>464</v>
      </c>
      <c r="I14" s="37">
        <v>390</v>
      </c>
      <c r="J14" s="67">
        <v>1.5</v>
      </c>
      <c r="K14" s="37">
        <v>120</v>
      </c>
      <c r="L14" s="37">
        <v>500</v>
      </c>
      <c r="M14" s="36">
        <f>E14*(1+'Assumptions &amp; Sources'!$B$20*('DC Calculator'!$B$10-'Assumptions &amp; Sources'!$B$8))</f>
        <v>0.20911640000000004</v>
      </c>
      <c r="N14" s="36">
        <f t="shared" si="0"/>
        <v>0.41823280000000007</v>
      </c>
      <c r="O14" s="23" t="s">
        <v>174</v>
      </c>
    </row>
    <row r="15" spans="1:15" ht="20.100000000000001" customHeight="1">
      <c r="A15" s="54" t="s">
        <v>185</v>
      </c>
      <c r="B15" s="54" t="s">
        <v>172</v>
      </c>
      <c r="C15" s="54" t="s">
        <v>173</v>
      </c>
      <c r="D15" s="61">
        <v>150</v>
      </c>
      <c r="E15" s="35">
        <v>0.13200000000000001</v>
      </c>
      <c r="F15" s="35">
        <v>0.34</v>
      </c>
      <c r="G15" s="37">
        <v>566</v>
      </c>
      <c r="H15" s="37">
        <v>538</v>
      </c>
      <c r="I15" s="37">
        <v>453</v>
      </c>
      <c r="J15" s="67">
        <v>1.5</v>
      </c>
      <c r="K15" s="37">
        <v>120</v>
      </c>
      <c r="L15" s="37">
        <v>500</v>
      </c>
      <c r="M15" s="36">
        <f>E15*(1+'Assumptions &amp; Sources'!$B$20*('DC Calculator'!$B$10-'Assumptions &amp; Sources'!$B$8))</f>
        <v>0.16831320000000002</v>
      </c>
      <c r="N15" s="36">
        <f t="shared" si="0"/>
        <v>0.33662640000000005</v>
      </c>
      <c r="O15" s="23" t="s">
        <v>174</v>
      </c>
    </row>
    <row r="16" spans="1:15" ht="20.100000000000001" customHeight="1">
      <c r="A16" s="54" t="s">
        <v>186</v>
      </c>
      <c r="B16" s="54" t="s">
        <v>172</v>
      </c>
      <c r="C16" s="54" t="s">
        <v>173</v>
      </c>
      <c r="D16" s="61">
        <v>185</v>
      </c>
      <c r="E16" s="35">
        <v>0.108</v>
      </c>
      <c r="F16" s="35">
        <v>0.28000000000000003</v>
      </c>
      <c r="G16" s="37">
        <v>644</v>
      </c>
      <c r="H16" s="37">
        <v>612</v>
      </c>
      <c r="I16" s="37">
        <v>515</v>
      </c>
      <c r="J16" s="67">
        <v>1.5</v>
      </c>
      <c r="K16" s="37">
        <v>120</v>
      </c>
      <c r="L16" s="37">
        <v>500</v>
      </c>
      <c r="M16" s="36">
        <f>E16*(1+'Assumptions &amp; Sources'!$B$20*('DC Calculator'!$B$10-'Assumptions &amp; Sources'!$B$8))</f>
        <v>0.13771080000000002</v>
      </c>
      <c r="N16" s="36">
        <f t="shared" si="0"/>
        <v>0.27542160000000004</v>
      </c>
      <c r="O16" s="23" t="s">
        <v>174</v>
      </c>
    </row>
    <row r="17" spans="1:15" ht="20.100000000000001" customHeight="1">
      <c r="A17" s="54" t="s">
        <v>187</v>
      </c>
      <c r="B17" s="54" t="s">
        <v>172</v>
      </c>
      <c r="C17" s="54" t="s">
        <v>173</v>
      </c>
      <c r="D17" s="61">
        <v>240</v>
      </c>
      <c r="E17" s="35">
        <v>8.1699999999999995E-2</v>
      </c>
      <c r="F17" s="35">
        <v>0.21</v>
      </c>
      <c r="G17" s="37">
        <v>775</v>
      </c>
      <c r="H17" s="37">
        <v>736</v>
      </c>
      <c r="I17" s="37">
        <v>620</v>
      </c>
      <c r="J17" s="67">
        <v>1.5</v>
      </c>
      <c r="K17" s="37">
        <v>120</v>
      </c>
      <c r="L17" s="37">
        <v>500</v>
      </c>
      <c r="M17" s="36">
        <f>E17*(1+'Assumptions &amp; Sources'!$B$20*('DC Calculator'!$B$10-'Assumptions &amp; Sources'!$B$8))</f>
        <v>0.10417567</v>
      </c>
      <c r="N17" s="36">
        <f t="shared" si="0"/>
        <v>0.20835134</v>
      </c>
      <c r="O17" s="23" t="s">
        <v>174</v>
      </c>
    </row>
    <row r="18" spans="1:15" ht="20.100000000000001" customHeight="1">
      <c r="A18" s="23" t="s">
        <v>188</v>
      </c>
      <c r="B18" s="23" t="s">
        <v>189</v>
      </c>
      <c r="C18" s="23" t="s">
        <v>173</v>
      </c>
      <c r="D18" s="34">
        <v>1.5</v>
      </c>
      <c r="E18" s="35">
        <v>13.7</v>
      </c>
      <c r="F18" s="35"/>
      <c r="G18" s="37">
        <v>30</v>
      </c>
      <c r="H18" s="37">
        <v>29</v>
      </c>
      <c r="I18" s="37">
        <v>24</v>
      </c>
      <c r="J18" s="67">
        <v>1.5</v>
      </c>
      <c r="K18" s="37">
        <v>120</v>
      </c>
      <c r="L18" s="37">
        <v>200</v>
      </c>
      <c r="M18" s="36">
        <f>E18*(1+'Assumptions &amp; Sources'!$B$20*('DC Calculator'!$B$10-'Assumptions &amp; Sources'!$B$8))</f>
        <v>17.468869999999999</v>
      </c>
      <c r="N18" s="36">
        <f t="shared" si="0"/>
        <v>34.937739999999998</v>
      </c>
      <c r="O18" s="23" t="s">
        <v>190</v>
      </c>
    </row>
    <row r="19" spans="1:15" ht="20.100000000000001" customHeight="1">
      <c r="A19" s="23" t="s">
        <v>191</v>
      </c>
      <c r="B19" s="23" t="s">
        <v>189</v>
      </c>
      <c r="C19" s="23" t="s">
        <v>173</v>
      </c>
      <c r="D19" s="34">
        <v>2.5</v>
      </c>
      <c r="E19" s="35">
        <v>8.2100000000000009</v>
      </c>
      <c r="F19" s="35"/>
      <c r="G19" s="37">
        <v>41</v>
      </c>
      <c r="H19" s="37">
        <v>39</v>
      </c>
      <c r="I19" s="37">
        <v>33</v>
      </c>
      <c r="J19" s="67">
        <v>1.5</v>
      </c>
      <c r="K19" s="37">
        <v>120</v>
      </c>
      <c r="L19" s="37">
        <v>200</v>
      </c>
      <c r="M19" s="36">
        <f>E19*(1+'Assumptions &amp; Sources'!$B$20*('DC Calculator'!$B$10-'Assumptions &amp; Sources'!$B$8))</f>
        <v>10.468571000000003</v>
      </c>
      <c r="N19" s="36">
        <f t="shared" si="0"/>
        <v>20.937142000000005</v>
      </c>
      <c r="O19" s="23" t="s">
        <v>190</v>
      </c>
    </row>
    <row r="20" spans="1:15" ht="20.100000000000001" customHeight="1">
      <c r="A20" s="23" t="s">
        <v>192</v>
      </c>
      <c r="B20" s="23" t="s">
        <v>189</v>
      </c>
      <c r="C20" s="23" t="s">
        <v>173</v>
      </c>
      <c r="D20" s="34">
        <v>4</v>
      </c>
      <c r="E20" s="35">
        <v>5.09</v>
      </c>
      <c r="F20" s="35"/>
      <c r="G20" s="37">
        <v>55</v>
      </c>
      <c r="H20" s="37">
        <v>52</v>
      </c>
      <c r="I20" s="37">
        <v>44</v>
      </c>
      <c r="J20" s="67">
        <v>1.5</v>
      </c>
      <c r="K20" s="37">
        <v>120</v>
      </c>
      <c r="L20" s="37">
        <v>200</v>
      </c>
      <c r="M20" s="36">
        <f>E20*(1+'Assumptions &amp; Sources'!$B$20*('DC Calculator'!$B$10-'Assumptions &amp; Sources'!$B$8))</f>
        <v>6.490259</v>
      </c>
      <c r="N20" s="36">
        <f t="shared" si="0"/>
        <v>12.980518</v>
      </c>
      <c r="O20" s="23" t="s">
        <v>190</v>
      </c>
    </row>
    <row r="21" spans="1:15" ht="20.100000000000001" customHeight="1">
      <c r="A21" s="23" t="s">
        <v>193</v>
      </c>
      <c r="B21" s="23" t="s">
        <v>189</v>
      </c>
      <c r="C21" s="23" t="s">
        <v>173</v>
      </c>
      <c r="D21" s="34">
        <v>6</v>
      </c>
      <c r="E21" s="35">
        <v>3.39</v>
      </c>
      <c r="F21" s="35"/>
      <c r="G21" s="37">
        <v>70</v>
      </c>
      <c r="H21" s="37">
        <v>67</v>
      </c>
      <c r="I21" s="37">
        <v>57</v>
      </c>
      <c r="J21" s="67">
        <v>1.5</v>
      </c>
      <c r="K21" s="37">
        <v>120</v>
      </c>
      <c r="L21" s="37">
        <v>100</v>
      </c>
      <c r="M21" s="36">
        <f>E21*(1+'Assumptions &amp; Sources'!$B$20*('DC Calculator'!$B$10-'Assumptions &amp; Sources'!$B$8))</f>
        <v>4.3225890000000007</v>
      </c>
      <c r="N21" s="36">
        <f t="shared" si="0"/>
        <v>8.6451780000000014</v>
      </c>
      <c r="O21" s="23" t="s">
        <v>190</v>
      </c>
    </row>
    <row r="22" spans="1:15" ht="20.100000000000001" customHeight="1">
      <c r="A22" s="23" t="s">
        <v>194</v>
      </c>
      <c r="B22" s="23" t="s">
        <v>189</v>
      </c>
      <c r="C22" s="23" t="s">
        <v>173</v>
      </c>
      <c r="D22" s="34">
        <v>10</v>
      </c>
      <c r="E22" s="35">
        <v>1.95</v>
      </c>
      <c r="F22" s="35"/>
      <c r="G22" s="37">
        <v>98</v>
      </c>
      <c r="H22" s="37">
        <v>93</v>
      </c>
      <c r="I22" s="37">
        <v>79</v>
      </c>
      <c r="J22" s="67">
        <v>1.5</v>
      </c>
      <c r="K22" s="37">
        <v>120</v>
      </c>
      <c r="L22" s="37">
        <v>100</v>
      </c>
      <c r="M22" s="36">
        <f>E22*(1+'Assumptions &amp; Sources'!$B$20*('DC Calculator'!$B$10-'Assumptions &amp; Sources'!$B$8))</f>
        <v>2.4864450000000002</v>
      </c>
      <c r="N22" s="36">
        <f t="shared" si="0"/>
        <v>4.9728900000000005</v>
      </c>
      <c r="O22" s="23" t="s">
        <v>190</v>
      </c>
    </row>
    <row r="23" spans="1:15" ht="20.100000000000001" customHeight="1">
      <c r="A23" s="23" t="s">
        <v>195</v>
      </c>
      <c r="B23" s="23" t="s">
        <v>189</v>
      </c>
      <c r="C23" s="23" t="s">
        <v>173</v>
      </c>
      <c r="D23" s="34">
        <v>16</v>
      </c>
      <c r="E23" s="35">
        <v>1.24</v>
      </c>
      <c r="F23" s="35"/>
      <c r="G23" s="37">
        <v>132</v>
      </c>
      <c r="H23" s="37">
        <v>125</v>
      </c>
      <c r="I23" s="37">
        <v>107</v>
      </c>
      <c r="J23" s="67">
        <v>1.5</v>
      </c>
      <c r="K23" s="37">
        <v>120</v>
      </c>
      <c r="L23" s="37">
        <v>100</v>
      </c>
      <c r="M23" s="36">
        <f>E23*(1+'Assumptions &amp; Sources'!$B$20*('DC Calculator'!$B$10-'Assumptions &amp; Sources'!$B$8))</f>
        <v>1.5811240000000002</v>
      </c>
      <c r="N23" s="36">
        <f t="shared" si="0"/>
        <v>3.1622480000000004</v>
      </c>
      <c r="O23" s="23" t="s">
        <v>190</v>
      </c>
    </row>
    <row r="24" spans="1:15" ht="20.100000000000001" customHeight="1">
      <c r="A24" s="23" t="s">
        <v>196</v>
      </c>
      <c r="B24" s="23" t="s">
        <v>189</v>
      </c>
      <c r="C24" s="23" t="s">
        <v>173</v>
      </c>
      <c r="D24" s="34">
        <v>25</v>
      </c>
      <c r="E24" s="35">
        <v>0.79500000000000004</v>
      </c>
      <c r="F24" s="35"/>
      <c r="G24" s="37">
        <v>176</v>
      </c>
      <c r="H24" s="37">
        <v>167</v>
      </c>
      <c r="I24" s="37">
        <v>142</v>
      </c>
      <c r="J24" s="67">
        <v>1.5</v>
      </c>
      <c r="K24" s="37">
        <v>120</v>
      </c>
      <c r="L24" s="37">
        <v>100</v>
      </c>
      <c r="M24" s="36">
        <f>E24*(1+'Assumptions &amp; Sources'!$B$20*('DC Calculator'!$B$10-'Assumptions &amp; Sources'!$B$8))</f>
        <v>1.0137045000000002</v>
      </c>
      <c r="N24" s="36">
        <f t="shared" si="0"/>
        <v>2.0274090000000005</v>
      </c>
      <c r="O24" s="23" t="s">
        <v>190</v>
      </c>
    </row>
    <row r="25" spans="1:15" ht="20.100000000000001" customHeight="1">
      <c r="A25" s="23" t="s">
        <v>197</v>
      </c>
      <c r="B25" s="23" t="s">
        <v>189</v>
      </c>
      <c r="C25" s="23" t="s">
        <v>173</v>
      </c>
      <c r="D25" s="34">
        <v>35</v>
      </c>
      <c r="E25" s="35">
        <v>0.56499999999999995</v>
      </c>
      <c r="F25" s="35"/>
      <c r="G25" s="37">
        <v>218</v>
      </c>
      <c r="H25" s="37">
        <v>207</v>
      </c>
      <c r="I25" s="37">
        <v>176</v>
      </c>
      <c r="J25" s="67">
        <v>1.5</v>
      </c>
      <c r="K25" s="37">
        <v>120</v>
      </c>
      <c r="L25" s="37">
        <v>100</v>
      </c>
      <c r="M25" s="36">
        <f>E25*(1+'Assumptions &amp; Sources'!$B$20*('DC Calculator'!$B$10-'Assumptions &amp; Sources'!$B$8))</f>
        <v>0.7204315</v>
      </c>
      <c r="N25" s="36">
        <f t="shared" si="0"/>
        <v>1.440863</v>
      </c>
      <c r="O25" s="23" t="s">
        <v>190</v>
      </c>
    </row>
    <row r="26" spans="1:15" ht="20.100000000000001" customHeight="1">
      <c r="A26" s="23" t="s">
        <v>198</v>
      </c>
      <c r="B26" s="23" t="s">
        <v>189</v>
      </c>
      <c r="C26" s="23" t="s">
        <v>173</v>
      </c>
      <c r="D26" s="34">
        <v>50</v>
      </c>
      <c r="E26" s="35">
        <v>0.39300000000000002</v>
      </c>
      <c r="F26" s="35"/>
      <c r="G26" s="37">
        <v>276</v>
      </c>
      <c r="H26" s="37">
        <v>262</v>
      </c>
      <c r="I26" s="37">
        <v>221</v>
      </c>
      <c r="J26" s="67">
        <v>1.5</v>
      </c>
      <c r="K26" s="37">
        <v>120</v>
      </c>
      <c r="L26" s="37">
        <v>100</v>
      </c>
      <c r="M26" s="36">
        <f>E26*(1+'Assumptions &amp; Sources'!$B$20*('DC Calculator'!$B$10-'Assumptions &amp; Sources'!$B$8))</f>
        <v>0.50111430000000012</v>
      </c>
      <c r="N26" s="36">
        <f t="shared" si="0"/>
        <v>1.0022286000000002</v>
      </c>
      <c r="O26" s="23" t="s">
        <v>190</v>
      </c>
    </row>
    <row r="27" spans="1:15" ht="20.100000000000001" customHeight="1">
      <c r="A27" s="23" t="s">
        <v>199</v>
      </c>
      <c r="B27" s="23" t="s">
        <v>189</v>
      </c>
      <c r="C27" s="23" t="s">
        <v>173</v>
      </c>
      <c r="D27" s="34">
        <v>70</v>
      </c>
      <c r="E27" s="35">
        <v>0.27700000000000002</v>
      </c>
      <c r="F27" s="35"/>
      <c r="G27" s="37">
        <v>347</v>
      </c>
      <c r="H27" s="37">
        <v>330</v>
      </c>
      <c r="I27" s="37">
        <v>278</v>
      </c>
      <c r="J27" s="67">
        <v>1.5</v>
      </c>
      <c r="K27" s="37">
        <v>120</v>
      </c>
      <c r="L27" s="37">
        <v>500</v>
      </c>
      <c r="M27" s="36">
        <f>E27*(1+'Assumptions &amp; Sources'!$B$20*('DC Calculator'!$B$10-'Assumptions &amp; Sources'!$B$8))</f>
        <v>0.35320270000000009</v>
      </c>
      <c r="N27" s="36">
        <f t="shared" si="0"/>
        <v>0.70640540000000018</v>
      </c>
      <c r="O27" s="23" t="s">
        <v>190</v>
      </c>
    </row>
    <row r="28" spans="1:15" ht="20.100000000000001" customHeight="1">
      <c r="A28" s="23" t="s">
        <v>200</v>
      </c>
      <c r="B28" s="23" t="s">
        <v>189</v>
      </c>
      <c r="C28" s="23" t="s">
        <v>173</v>
      </c>
      <c r="D28" s="34">
        <v>95</v>
      </c>
      <c r="E28" s="35">
        <v>0.21</v>
      </c>
      <c r="F28" s="35"/>
      <c r="G28" s="37">
        <v>416</v>
      </c>
      <c r="H28" s="37">
        <v>395</v>
      </c>
      <c r="I28" s="37">
        <v>333</v>
      </c>
      <c r="J28" s="67">
        <v>1.5</v>
      </c>
      <c r="K28" s="37">
        <v>120</v>
      </c>
      <c r="L28" s="37">
        <v>500</v>
      </c>
      <c r="M28" s="36">
        <f>E28*(1+'Assumptions &amp; Sources'!$B$20*('DC Calculator'!$B$10-'Assumptions &amp; Sources'!$B$8))</f>
        <v>0.26777100000000004</v>
      </c>
      <c r="N28" s="36">
        <f t="shared" si="0"/>
        <v>0.53554200000000007</v>
      </c>
      <c r="O28" s="23" t="s">
        <v>190</v>
      </c>
    </row>
    <row r="29" spans="1:15" ht="20.100000000000001" customHeight="1">
      <c r="A29" s="23" t="s">
        <v>201</v>
      </c>
      <c r="B29" s="23" t="s">
        <v>189</v>
      </c>
      <c r="C29" s="23" t="s">
        <v>173</v>
      </c>
      <c r="D29" s="34">
        <v>120</v>
      </c>
      <c r="E29" s="35">
        <v>0.16400000000000001</v>
      </c>
      <c r="F29" s="35"/>
      <c r="G29" s="37">
        <v>488</v>
      </c>
      <c r="H29" s="37">
        <v>464</v>
      </c>
      <c r="I29" s="37">
        <v>390</v>
      </c>
      <c r="J29" s="67">
        <v>1.5</v>
      </c>
      <c r="K29" s="37">
        <v>120</v>
      </c>
      <c r="L29" s="37">
        <v>500</v>
      </c>
      <c r="M29" s="36">
        <f>E29*(1+'Assumptions &amp; Sources'!$B$20*('DC Calculator'!$B$10-'Assumptions &amp; Sources'!$B$8))</f>
        <v>0.20911640000000004</v>
      </c>
      <c r="N29" s="36">
        <f t="shared" si="0"/>
        <v>0.41823280000000007</v>
      </c>
      <c r="O29" s="23" t="s">
        <v>190</v>
      </c>
    </row>
    <row r="30" spans="1:15" ht="20.100000000000001" customHeight="1">
      <c r="A30" s="23" t="s">
        <v>202</v>
      </c>
      <c r="B30" s="23" t="s">
        <v>189</v>
      </c>
      <c r="C30" s="23" t="s">
        <v>173</v>
      </c>
      <c r="D30" s="34">
        <v>150</v>
      </c>
      <c r="E30" s="35">
        <v>0.13200000000000001</v>
      </c>
      <c r="F30" s="35"/>
      <c r="G30" s="37">
        <v>566</v>
      </c>
      <c r="H30" s="37">
        <v>538</v>
      </c>
      <c r="I30" s="37">
        <v>453</v>
      </c>
      <c r="J30" s="67">
        <v>1.5</v>
      </c>
      <c r="K30" s="37">
        <v>120</v>
      </c>
      <c r="L30" s="37">
        <v>500</v>
      </c>
      <c r="M30" s="36">
        <f>E30*(1+'Assumptions &amp; Sources'!$B$20*('DC Calculator'!$B$10-'Assumptions &amp; Sources'!$B$8))</f>
        <v>0.16831320000000002</v>
      </c>
      <c r="N30" s="36">
        <f t="shared" si="0"/>
        <v>0.33662640000000005</v>
      </c>
      <c r="O30" s="23" t="s">
        <v>190</v>
      </c>
    </row>
    <row r="31" spans="1:15" ht="20.100000000000001" customHeight="1">
      <c r="A31" s="23" t="s">
        <v>203</v>
      </c>
      <c r="B31" s="23" t="s">
        <v>189</v>
      </c>
      <c r="C31" s="23" t="s">
        <v>173</v>
      </c>
      <c r="D31" s="34">
        <v>185</v>
      </c>
      <c r="E31" s="35">
        <v>0.108</v>
      </c>
      <c r="F31" s="35"/>
      <c r="G31" s="37">
        <v>644</v>
      </c>
      <c r="H31" s="37">
        <v>612</v>
      </c>
      <c r="I31" s="37">
        <v>515</v>
      </c>
      <c r="J31" s="67">
        <v>1.5</v>
      </c>
      <c r="K31" s="37">
        <v>120</v>
      </c>
      <c r="L31" s="37">
        <v>500</v>
      </c>
      <c r="M31" s="36">
        <f>E31*(1+'Assumptions &amp; Sources'!$B$20*('DC Calculator'!$B$10-'Assumptions &amp; Sources'!$B$8))</f>
        <v>0.13771080000000002</v>
      </c>
      <c r="N31" s="36">
        <f t="shared" si="0"/>
        <v>0.27542160000000004</v>
      </c>
      <c r="O31" s="23" t="s">
        <v>190</v>
      </c>
    </row>
    <row r="32" spans="1:15" ht="20.100000000000001" customHeight="1">
      <c r="A32" s="23" t="s">
        <v>204</v>
      </c>
      <c r="B32" s="23" t="s">
        <v>189</v>
      </c>
      <c r="C32" s="23" t="s">
        <v>173</v>
      </c>
      <c r="D32" s="34">
        <v>240</v>
      </c>
      <c r="E32" s="35">
        <v>8.1699999999999995E-2</v>
      </c>
      <c r="F32" s="35"/>
      <c r="G32" s="37">
        <v>775</v>
      </c>
      <c r="H32" s="37">
        <v>736</v>
      </c>
      <c r="I32" s="37">
        <v>620</v>
      </c>
      <c r="J32" s="67">
        <v>1.5</v>
      </c>
      <c r="K32" s="37">
        <v>120</v>
      </c>
      <c r="L32" s="37">
        <v>500</v>
      </c>
      <c r="M32" s="36">
        <f>E32*(1+'Assumptions &amp; Sources'!$B$20*('DC Calculator'!$B$10-'Assumptions &amp; Sources'!$B$8))</f>
        <v>0.10417567</v>
      </c>
      <c r="N32" s="36">
        <f t="shared" si="0"/>
        <v>0.20835134</v>
      </c>
      <c r="O32" s="23" t="s">
        <v>190</v>
      </c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H27"/>
  <sheetViews>
    <sheetView showGridLines="0" tabSelected="1" workbookViewId="0">
      <selection activeCell="G32" sqref="G32"/>
    </sheetView>
  </sheetViews>
  <sheetFormatPr defaultRowHeight="14.25"/>
  <cols>
    <col min="1" max="1" width="31" customWidth="1"/>
    <col min="2" max="2" width="21" customWidth="1"/>
    <col min="3" max="3" width="4" customWidth="1"/>
    <col min="4" max="4" width="34" customWidth="1"/>
    <col min="5" max="5" width="25" customWidth="1"/>
    <col min="6" max="8" width="12" customWidth="1"/>
  </cols>
  <sheetData>
    <row r="1" spans="1:8" ht="30" customHeight="1">
      <c r="A1" s="125" t="s">
        <v>205</v>
      </c>
      <c r="B1" s="126"/>
      <c r="C1" s="126"/>
      <c r="D1" s="126"/>
      <c r="E1" s="126"/>
      <c r="F1" s="126"/>
      <c r="G1" s="126"/>
      <c r="H1" s="127"/>
    </row>
    <row r="3" spans="1:8" ht="15">
      <c r="A3" s="128" t="s">
        <v>206</v>
      </c>
      <c r="B3" s="129"/>
      <c r="C3" s="129"/>
      <c r="D3" s="129"/>
      <c r="E3" s="129"/>
      <c r="F3" s="129"/>
      <c r="G3" s="129"/>
      <c r="H3" s="130"/>
    </row>
    <row r="5" spans="1:8" ht="15">
      <c r="A5" s="9" t="s">
        <v>207</v>
      </c>
      <c r="B5" s="9" t="s">
        <v>208</v>
      </c>
      <c r="D5" s="141" t="s">
        <v>209</v>
      </c>
      <c r="E5" s="142"/>
      <c r="F5" s="142"/>
      <c r="G5" s="142"/>
      <c r="H5" s="143"/>
    </row>
    <row r="6" spans="1:8">
      <c r="A6" s="3" t="s">
        <v>142</v>
      </c>
      <c r="B6" s="4" t="s">
        <v>88</v>
      </c>
      <c r="D6" s="3" t="s">
        <v>146</v>
      </c>
      <c r="E6" s="15">
        <f>VLOOKUP(B6,'Cable Database'!$A$4:$J$18,5,FALSE)</f>
        <v>0.26800000000000002</v>
      </c>
    </row>
    <row r="7" spans="1:8">
      <c r="A7" s="3" t="s">
        <v>210</v>
      </c>
      <c r="B7" s="4" t="s">
        <v>211</v>
      </c>
      <c r="D7" s="3" t="s">
        <v>212</v>
      </c>
      <c r="E7" s="15">
        <f>E6*(1+'Assumptions &amp; Sources'!$B$4*(B13-'Assumptions &amp; Sources'!$B$8))</f>
        <v>0.34172680000000005</v>
      </c>
    </row>
    <row r="8" spans="1:8">
      <c r="A8" s="3" t="s">
        <v>213</v>
      </c>
      <c r="B8" s="4">
        <v>400</v>
      </c>
      <c r="D8" s="3" t="s">
        <v>214</v>
      </c>
      <c r="E8" s="15">
        <f>SQRT(MAX(0,1-B10^2))</f>
        <v>0.52678268764263703</v>
      </c>
    </row>
    <row r="9" spans="1:8">
      <c r="A9" s="3" t="s">
        <v>215</v>
      </c>
      <c r="B9" s="4">
        <v>100</v>
      </c>
      <c r="D9" s="3" t="s">
        <v>216</v>
      </c>
      <c r="E9" s="15">
        <f>IF(B7="3Φ AC",SQRT(3),2)</f>
        <v>1.7320508075688772</v>
      </c>
    </row>
    <row r="10" spans="1:8">
      <c r="A10" s="3" t="s">
        <v>217</v>
      </c>
      <c r="B10" s="12">
        <v>0.85</v>
      </c>
      <c r="D10" s="3" t="s">
        <v>218</v>
      </c>
      <c r="E10" s="15">
        <f>IF(B7="DC 2-wire",E7,E7*B10+B14*E8)</f>
        <v>0.33261039501141104</v>
      </c>
    </row>
    <row r="11" spans="1:8">
      <c r="A11" s="3" t="s">
        <v>219</v>
      </c>
      <c r="B11" s="4">
        <v>100</v>
      </c>
      <c r="D11" s="3" t="s">
        <v>220</v>
      </c>
      <c r="E11" s="15">
        <f>E9*B9*B11/1000*E10</f>
        <v>5.7609810328531772</v>
      </c>
    </row>
    <row r="12" spans="1:8">
      <c r="A12" s="3" t="s">
        <v>221</v>
      </c>
      <c r="B12" s="5">
        <v>0.03</v>
      </c>
      <c r="D12" s="3" t="s">
        <v>222</v>
      </c>
      <c r="E12" s="16">
        <f>E11/B8</f>
        <v>1.4402452582132942E-2</v>
      </c>
    </row>
    <row r="13" spans="1:8">
      <c r="A13" s="3" t="s">
        <v>223</v>
      </c>
      <c r="B13" s="4">
        <v>90</v>
      </c>
      <c r="D13" s="3" t="s">
        <v>224</v>
      </c>
      <c r="E13" s="14" t="str">
        <f>IF(E12&lt;=B12,"PASS ≤ limit","FAIL &gt; limit")</f>
        <v>PASS ≤ limit</v>
      </c>
    </row>
    <row r="14" spans="1:8">
      <c r="A14" s="3" t="s">
        <v>225</v>
      </c>
      <c r="B14" s="10">
        <v>0.08</v>
      </c>
      <c r="D14" s="20" t="s">
        <v>226</v>
      </c>
      <c r="E14" s="17">
        <f>B8*B12*1000/(E9*B9*E10)</f>
        <v>208.29785641659876</v>
      </c>
    </row>
    <row r="15" spans="1:8">
      <c r="A15" s="3" t="s">
        <v>227</v>
      </c>
      <c r="B15" s="13" t="s">
        <v>228</v>
      </c>
      <c r="D15" s="20" t="s">
        <v>229</v>
      </c>
      <c r="E15" s="17">
        <f>E14-B11</f>
        <v>108.29785641659876</v>
      </c>
    </row>
    <row r="16" spans="1:8">
      <c r="D16" s="3" t="s">
        <v>230</v>
      </c>
      <c r="E16" s="18" t="str">
        <f>IF(B7="3Φ AC","√3×I×L×(Rcosφ+Xsinφ)",IF(B7="1Φ AC","2×I×L×(Rcosφ+Xsinφ)","2×I×L×R"))</f>
        <v>√3×I×L×(Rcosφ+Xsinφ)</v>
      </c>
    </row>
    <row r="18" spans="1:8" s="94" customFormat="1" ht="33.950000000000003" customHeight="1">
      <c r="A18" s="144" t="s">
        <v>231</v>
      </c>
      <c r="B18" s="145"/>
      <c r="C18" s="145"/>
      <c r="D18" s="145"/>
      <c r="E18" s="145"/>
      <c r="F18" s="145"/>
      <c r="G18" s="145"/>
      <c r="H18" s="145"/>
    </row>
    <row r="22" spans="1:8">
      <c r="A22" s="108" t="s">
        <v>232</v>
      </c>
    </row>
    <row r="23" spans="1:8">
      <c r="A23" s="109" t="s">
        <v>233</v>
      </c>
    </row>
    <row r="24" spans="1:8">
      <c r="A24" s="109" t="s">
        <v>234</v>
      </c>
    </row>
    <row r="25" spans="1:8">
      <c r="A25" s="109" t="s">
        <v>235</v>
      </c>
    </row>
    <row r="26" spans="1:8">
      <c r="A26" s="109" t="s">
        <v>236</v>
      </c>
    </row>
    <row r="27" spans="1:8">
      <c r="A27" s="109" t="s">
        <v>237</v>
      </c>
    </row>
  </sheetData>
  <mergeCells count="4">
    <mergeCell ref="A1:H1"/>
    <mergeCell ref="A3:H3"/>
    <mergeCell ref="D5:H5"/>
    <mergeCell ref="A18:H18"/>
  </mergeCells>
  <conditionalFormatting sqref="E13">
    <cfRule type="containsText" dxfId="7" priority="1" operator="containsText" text="PASS"/>
    <cfRule type="containsText" dxfId="6" priority="2" operator="containsText" text="FAIL"/>
  </conditionalFormatting>
  <dataValidations count="2">
    <dataValidation type="list" sqref="B7" xr:uid="{00000000-0002-0000-0500-000000000000}">
      <formula1>"3Φ AC,1Φ AC,DC 2-wire"</formula1>
    </dataValidation>
    <dataValidation type="decimal" operator="greaterThan" sqref="B8:B14" xr:uid="{00000000-0002-0000-05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N69"/>
  <sheetViews>
    <sheetView showGridLines="0" topLeftCell="A55" workbookViewId="0">
      <selection activeCell="L57" sqref="L57"/>
    </sheetView>
  </sheetViews>
  <sheetFormatPr defaultRowHeight="14.25"/>
  <cols>
    <col min="1" max="1" width="19" customWidth="1"/>
    <col min="2" max="2" width="12" customWidth="1"/>
    <col min="3" max="3" width="14" customWidth="1"/>
    <col min="4" max="4" width="19" customWidth="1"/>
    <col min="5" max="5" width="13" customWidth="1"/>
    <col min="6" max="6" width="18" customWidth="1"/>
    <col min="7" max="8" width="17" customWidth="1"/>
    <col min="9" max="10" width="15" customWidth="1"/>
    <col min="11" max="12" width="18" customWidth="1"/>
    <col min="13" max="13" width="17" customWidth="1"/>
    <col min="14" max="14" width="18" customWidth="1"/>
  </cols>
  <sheetData>
    <row r="1" spans="1:11" ht="27.95" customHeight="1">
      <c r="A1" s="125" t="s">
        <v>238</v>
      </c>
      <c r="B1" s="126"/>
      <c r="C1" s="126"/>
      <c r="D1" s="126"/>
      <c r="E1" s="126"/>
      <c r="F1" s="126"/>
      <c r="G1" s="126"/>
      <c r="H1" s="126"/>
      <c r="I1" s="126"/>
      <c r="J1" s="126"/>
      <c r="K1" s="127"/>
    </row>
    <row r="3" spans="1:11" ht="15">
      <c r="A3" s="9" t="s">
        <v>239</v>
      </c>
      <c r="B3" s="9" t="s">
        <v>2</v>
      </c>
      <c r="D3" s="149" t="s">
        <v>240</v>
      </c>
      <c r="E3" s="150" t="s">
        <v>240</v>
      </c>
      <c r="F3" s="150" t="s">
        <v>240</v>
      </c>
      <c r="G3" s="150" t="s">
        <v>240</v>
      </c>
      <c r="H3" s="150" t="s">
        <v>240</v>
      </c>
      <c r="I3" s="150" t="s">
        <v>240</v>
      </c>
      <c r="J3" s="150" t="s">
        <v>240</v>
      </c>
      <c r="K3" s="151" t="s">
        <v>240</v>
      </c>
    </row>
    <row r="4" spans="1:11">
      <c r="A4" s="3" t="s">
        <v>221</v>
      </c>
      <c r="B4" s="5">
        <v>0.03</v>
      </c>
    </row>
    <row r="5" spans="1:11" ht="15">
      <c r="A5" s="3" t="s">
        <v>223</v>
      </c>
      <c r="B5" s="4">
        <v>90</v>
      </c>
      <c r="K5" s="64" t="s">
        <v>241</v>
      </c>
    </row>
    <row r="6" spans="1:11" ht="15">
      <c r="F6" s="64" t="s">
        <v>241</v>
      </c>
      <c r="G6" s="64" t="s">
        <v>241</v>
      </c>
      <c r="H6" s="64" t="s">
        <v>241</v>
      </c>
      <c r="I6" s="64" t="s">
        <v>242</v>
      </c>
      <c r="J6" s="64" t="s">
        <v>243</v>
      </c>
      <c r="K6" s="95" t="s">
        <v>244</v>
      </c>
    </row>
    <row r="7" spans="1:11" ht="30">
      <c r="A7" s="9" t="s">
        <v>142</v>
      </c>
      <c r="B7" s="9" t="s">
        <v>245</v>
      </c>
      <c r="C7" s="9" t="s">
        <v>145</v>
      </c>
      <c r="D7" s="9" t="s">
        <v>246</v>
      </c>
      <c r="E7" s="9" t="s">
        <v>247</v>
      </c>
      <c r="F7" s="9" t="s">
        <v>248</v>
      </c>
      <c r="G7" s="9" t="s">
        <v>249</v>
      </c>
      <c r="H7" s="9" t="s">
        <v>250</v>
      </c>
      <c r="I7" s="9" t="s">
        <v>251</v>
      </c>
      <c r="J7" s="9" t="s">
        <v>252</v>
      </c>
      <c r="K7" s="9" t="s">
        <v>253</v>
      </c>
    </row>
    <row r="8" spans="1:11">
      <c r="A8" s="8" t="str">
        <f>'Cable Database'!A4</f>
        <v>CV-FD 4C 10</v>
      </c>
      <c r="B8" s="8">
        <f>'Cable Database'!C4</f>
        <v>4</v>
      </c>
      <c r="C8" s="8">
        <f>'Cable Database'!D4</f>
        <v>10</v>
      </c>
      <c r="D8" s="11">
        <f>'Cable Database'!E4*(1+'Assumptions &amp; Sources'!$B$4*($B$5-'Assumptions &amp; Sources'!$B$8))</f>
        <v>2.3334330000000003</v>
      </c>
      <c r="E8" s="11">
        <f>'Cable Database'!H4</f>
        <v>0.08</v>
      </c>
      <c r="F8" s="19">
        <f>400*$B$4*1000/(SQRT(3)*100*(D8*0.8+E8*SQRT(1-0.8^2)))</f>
        <v>36.183398648904671</v>
      </c>
      <c r="G8" s="19">
        <f t="shared" ref="G8:G22" si="0">400*$B$4*1000/(SQRT(3)*100*(D8*0.95+E8*SQRT(1-0.95^2)))</f>
        <v>30.90545327639904</v>
      </c>
      <c r="H8" s="19">
        <f>400*$B$4*1000/(SQRT(3)*100*D8)</f>
        <v>29.69103132712835</v>
      </c>
      <c r="I8" s="19">
        <f t="shared" ref="I8:I22" si="1">230*$B$4*1000/(2*50*(D8*0.95+E8*SQRT(1-0.95^2)))</f>
        <v>30.779643800759764</v>
      </c>
      <c r="J8" s="19">
        <f>1000*$B$4*1000/(2*100*D8)</f>
        <v>64.282968484631866</v>
      </c>
      <c r="K8" s="19">
        <f t="shared" ref="K8:K22" si="2">400*$B$4*1000/(SQRT(3)*(D8))</f>
        <v>2969.1031327128348</v>
      </c>
    </row>
    <row r="9" spans="1:11">
      <c r="A9" s="8" t="str">
        <f>'Cable Database'!A5</f>
        <v>CV-FD 1C 16</v>
      </c>
      <c r="B9" s="8">
        <f>'Cable Database'!C5</f>
        <v>1</v>
      </c>
      <c r="C9" s="8">
        <f>'Cable Database'!D5</f>
        <v>16</v>
      </c>
      <c r="D9" s="11">
        <f>'Cable Database'!E5*(1+'Assumptions &amp; Sources'!$B$4*($B$5-'Assumptions &amp; Sources'!$B$8))</f>
        <v>1.4663649999999999</v>
      </c>
      <c r="E9" s="11">
        <f>'Cable Database'!H5</f>
        <v>0.08</v>
      </c>
      <c r="F9" s="19">
        <f>400*$B$4*1000/(SQRT(3)*100*(D9*0.8+E9*SQRT(1-0.8^2)))</f>
        <v>56.737766116521186</v>
      </c>
      <c r="G9" s="19">
        <f t="shared" si="0"/>
        <v>48.858057645197853</v>
      </c>
      <c r="H9" s="19">
        <f t="shared" ref="H9:H22" si="3">400*$B$4*1000/(SQRT(3)*100*D9)</f>
        <v>47.247467242299898</v>
      </c>
      <c r="I9" s="19">
        <f t="shared" si="1"/>
        <v>48.659166965351716</v>
      </c>
      <c r="J9" s="19">
        <f t="shared" ref="J9:J22" si="4">1000*$B$4*1000/(2*100*D9)</f>
        <v>102.29376724076204</v>
      </c>
      <c r="K9" s="19">
        <f t="shared" si="2"/>
        <v>4724.7467242299908</v>
      </c>
    </row>
    <row r="10" spans="1:11">
      <c r="A10" s="8" t="str">
        <f>'Cable Database'!A6</f>
        <v>CV-FD 4C 16</v>
      </c>
      <c r="B10" s="8">
        <f>'Cable Database'!C6</f>
        <v>4</v>
      </c>
      <c r="C10" s="8">
        <f>'Cable Database'!D6</f>
        <v>16</v>
      </c>
      <c r="D10" s="11">
        <f>'Cable Database'!E6*(1+'Assumptions &amp; Sources'!$B$4*($B$5-'Assumptions &amp; Sources'!$B$8))</f>
        <v>1.4663649999999999</v>
      </c>
      <c r="E10" s="11">
        <f>'Cable Database'!H6</f>
        <v>0.08</v>
      </c>
      <c r="F10" s="19">
        <f t="shared" ref="F10:F22" si="5">400*$B$4*1000/(SQRT(3)*100*(D10*0.8+E10*SQRT(1-0.8^2)))</f>
        <v>56.737766116521186</v>
      </c>
      <c r="G10" s="19">
        <f t="shared" si="0"/>
        <v>48.858057645197853</v>
      </c>
      <c r="H10" s="19">
        <f t="shared" si="3"/>
        <v>47.247467242299898</v>
      </c>
      <c r="I10" s="19">
        <f t="shared" si="1"/>
        <v>48.659166965351716</v>
      </c>
      <c r="J10" s="19">
        <f t="shared" si="4"/>
        <v>102.29376724076204</v>
      </c>
      <c r="K10" s="19">
        <f t="shared" si="2"/>
        <v>4724.7467242299908</v>
      </c>
    </row>
    <row r="11" spans="1:11">
      <c r="A11" s="8" t="str">
        <f>'Cable Database'!A7</f>
        <v>CV-FD 1C 25</v>
      </c>
      <c r="B11" s="8">
        <f>'Cable Database'!C7</f>
        <v>1</v>
      </c>
      <c r="C11" s="8">
        <f>'Cable Database'!D7</f>
        <v>25</v>
      </c>
      <c r="D11" s="11">
        <f>'Cable Database'!E7*(1+'Assumptions &amp; Sources'!$B$4*($B$5-'Assumptions &amp; Sources'!$B$8))</f>
        <v>0.92699770000000004</v>
      </c>
      <c r="E11" s="11">
        <f>'Cable Database'!H7</f>
        <v>0.08</v>
      </c>
      <c r="F11" s="19">
        <f t="shared" si="5"/>
        <v>87.74340647242019</v>
      </c>
      <c r="G11" s="19">
        <f t="shared" si="0"/>
        <v>76.501661905402599</v>
      </c>
      <c r="H11" s="19">
        <f t="shared" si="3"/>
        <v>74.738084358521149</v>
      </c>
      <c r="I11" s="19">
        <f t="shared" si="1"/>
        <v>76.190240038077917</v>
      </c>
      <c r="J11" s="19">
        <f t="shared" si="4"/>
        <v>161.81269921165932</v>
      </c>
      <c r="K11" s="19">
        <f t="shared" si="2"/>
        <v>7473.8084358521164</v>
      </c>
    </row>
    <row r="12" spans="1:11">
      <c r="A12" s="8" t="str">
        <f>'Cable Database'!A8</f>
        <v>CV-FD 4C 25</v>
      </c>
      <c r="B12" s="8">
        <f>'Cable Database'!C8</f>
        <v>4</v>
      </c>
      <c r="C12" s="8">
        <f>'Cable Database'!D8</f>
        <v>25</v>
      </c>
      <c r="D12" s="11">
        <f>'Cable Database'!E8*(1+'Assumptions &amp; Sources'!$B$4*($B$5-'Assumptions &amp; Sources'!$B$8))</f>
        <v>0.92699770000000004</v>
      </c>
      <c r="E12" s="11">
        <f>'Cable Database'!H8</f>
        <v>0.08</v>
      </c>
      <c r="F12" s="19">
        <f t="shared" si="5"/>
        <v>87.74340647242019</v>
      </c>
      <c r="G12" s="19">
        <f t="shared" si="0"/>
        <v>76.501661905402599</v>
      </c>
      <c r="H12" s="19">
        <f t="shared" si="3"/>
        <v>74.738084358521149</v>
      </c>
      <c r="I12" s="19">
        <f t="shared" si="1"/>
        <v>76.190240038077917</v>
      </c>
      <c r="J12" s="19">
        <f t="shared" si="4"/>
        <v>161.81269921165932</v>
      </c>
      <c r="K12" s="19">
        <f t="shared" si="2"/>
        <v>7473.8084358521164</v>
      </c>
    </row>
    <row r="13" spans="1:11">
      <c r="A13" s="8" t="str">
        <f>'Cable Database'!A9</f>
        <v>CV-FD 1C 35</v>
      </c>
      <c r="B13" s="8">
        <f>'Cable Database'!C9</f>
        <v>1</v>
      </c>
      <c r="C13" s="8">
        <f>'Cable Database'!D9</f>
        <v>35</v>
      </c>
      <c r="D13" s="11">
        <f>'Cable Database'!E9*(1+'Assumptions &amp; Sources'!$B$4*($B$5-'Assumptions &amp; Sources'!$B$8))</f>
        <v>0.66815240000000009</v>
      </c>
      <c r="E13" s="11">
        <f>'Cable Database'!H9</f>
        <v>0.08</v>
      </c>
      <c r="F13" s="19">
        <f t="shared" si="5"/>
        <v>118.93463563183182</v>
      </c>
      <c r="G13" s="19">
        <f t="shared" si="0"/>
        <v>105.01656939968274</v>
      </c>
      <c r="H13" s="19">
        <f t="shared" si="3"/>
        <v>103.691960550849</v>
      </c>
      <c r="I13" s="19">
        <f t="shared" si="1"/>
        <v>104.58906945617926</v>
      </c>
      <c r="J13" s="19">
        <f t="shared" si="4"/>
        <v>224.49968001312274</v>
      </c>
      <c r="K13" s="19">
        <f t="shared" si="2"/>
        <v>10369.196055084902</v>
      </c>
    </row>
    <row r="14" spans="1:11">
      <c r="A14" s="8" t="str">
        <f>'Cable Database'!A10</f>
        <v>CV-FD 4C 35</v>
      </c>
      <c r="B14" s="8">
        <f>'Cable Database'!C10</f>
        <v>4</v>
      </c>
      <c r="C14" s="8">
        <f>'Cable Database'!D10</f>
        <v>35</v>
      </c>
      <c r="D14" s="11">
        <f>'Cable Database'!E10*(1+'Assumptions &amp; Sources'!$B$4*($B$5-'Assumptions &amp; Sources'!$B$8))</f>
        <v>0.66815240000000009</v>
      </c>
      <c r="E14" s="11">
        <f>'Cable Database'!H10</f>
        <v>0.08</v>
      </c>
      <c r="F14" s="19">
        <f t="shared" si="5"/>
        <v>118.93463563183182</v>
      </c>
      <c r="G14" s="19">
        <f t="shared" si="0"/>
        <v>105.01656939968274</v>
      </c>
      <c r="H14" s="19">
        <f t="shared" si="3"/>
        <v>103.691960550849</v>
      </c>
      <c r="I14" s="19">
        <f t="shared" si="1"/>
        <v>104.58906945617926</v>
      </c>
      <c r="J14" s="19">
        <f t="shared" si="4"/>
        <v>224.49968001312274</v>
      </c>
      <c r="K14" s="19">
        <f t="shared" si="2"/>
        <v>10369.196055084902</v>
      </c>
    </row>
    <row r="15" spans="1:11">
      <c r="A15" s="8" t="str">
        <f>'Cable Database'!A11</f>
        <v>CV-FD 1C 50</v>
      </c>
      <c r="B15" s="8">
        <f>'Cable Database'!C11</f>
        <v>1</v>
      </c>
      <c r="C15" s="8">
        <f>'Cable Database'!D11</f>
        <v>50</v>
      </c>
      <c r="D15" s="11">
        <f>'Cable Database'!E11*(1+'Assumptions &amp; Sources'!$B$4*($B$5-'Assumptions &amp; Sources'!$B$8))</f>
        <v>0.49346370000000006</v>
      </c>
      <c r="E15" s="11">
        <f>'Cable Database'!H11</f>
        <v>0.08</v>
      </c>
      <c r="F15" s="19">
        <f t="shared" si="5"/>
        <v>156.47374954932701</v>
      </c>
      <c r="G15" s="19">
        <f t="shared" si="0"/>
        <v>140.31221249845527</v>
      </c>
      <c r="H15" s="19">
        <f t="shared" si="3"/>
        <v>140.39945046161469</v>
      </c>
      <c r="I15" s="19">
        <f t="shared" si="1"/>
        <v>139.74103155759207</v>
      </c>
      <c r="J15" s="19">
        <f t="shared" si="4"/>
        <v>303.97372694283285</v>
      </c>
      <c r="K15" s="19">
        <f t="shared" si="2"/>
        <v>14039.945046161467</v>
      </c>
    </row>
    <row r="16" spans="1:11">
      <c r="A16" s="8" t="str">
        <f>'Cable Database'!A12</f>
        <v>CV-FD 1C 70</v>
      </c>
      <c r="B16" s="8">
        <f>'Cable Database'!C12</f>
        <v>1</v>
      </c>
      <c r="C16" s="8">
        <f>'Cable Database'!D12</f>
        <v>70</v>
      </c>
      <c r="D16" s="11">
        <f>'Cable Database'!E12*(1+'Assumptions &amp; Sources'!$B$4*($B$5-'Assumptions &amp; Sources'!$B$8))</f>
        <v>0.34172680000000005</v>
      </c>
      <c r="E16" s="11">
        <f>'Cable Database'!H12</f>
        <v>0.08</v>
      </c>
      <c r="F16" s="19">
        <f>400*$B$4*1000/(SQRT(3)*100*(D16*0.8+E16*SQRT(1-0.8^2)))</f>
        <v>215.57571060343463</v>
      </c>
      <c r="G16" s="19">
        <f t="shared" si="0"/>
        <v>198.16355681624887</v>
      </c>
      <c r="H16" s="19">
        <f t="shared" si="3"/>
        <v>202.74099749494357</v>
      </c>
      <c r="I16" s="19">
        <f t="shared" si="1"/>
        <v>197.35687545322531</v>
      </c>
      <c r="J16" s="19">
        <f t="shared" si="4"/>
        <v>438.94713554804588</v>
      </c>
      <c r="K16" s="19">
        <f t="shared" si="2"/>
        <v>20274.099749494359</v>
      </c>
    </row>
    <row r="17" spans="1:11">
      <c r="A17" s="8" t="str">
        <f>'Cable Database'!A13</f>
        <v>CV-FD 4C 70</v>
      </c>
      <c r="B17" s="8">
        <f>'Cable Database'!C13</f>
        <v>4</v>
      </c>
      <c r="C17" s="8">
        <f>'Cable Database'!D13</f>
        <v>70</v>
      </c>
      <c r="D17" s="11">
        <f>'Cable Database'!E13*(1+'Assumptions &amp; Sources'!$B$4*($B$5-'Assumptions &amp; Sources'!$B$8))</f>
        <v>0.34172680000000005</v>
      </c>
      <c r="E17" s="11">
        <f>'Cable Database'!H13</f>
        <v>0.08</v>
      </c>
      <c r="F17" s="19">
        <f t="shared" si="5"/>
        <v>215.57571060343463</v>
      </c>
      <c r="G17" s="19">
        <f t="shared" si="0"/>
        <v>198.16355681624887</v>
      </c>
      <c r="H17" s="19">
        <f t="shared" si="3"/>
        <v>202.74099749494357</v>
      </c>
      <c r="I17" s="19">
        <f t="shared" si="1"/>
        <v>197.35687545322531</v>
      </c>
      <c r="J17" s="19">
        <f t="shared" si="4"/>
        <v>438.94713554804588</v>
      </c>
      <c r="K17" s="19">
        <f t="shared" si="2"/>
        <v>20274.099749494359</v>
      </c>
    </row>
    <row r="18" spans="1:11">
      <c r="A18" s="8" t="str">
        <f>'Cable Database'!A14</f>
        <v>CV-FD 1C 95</v>
      </c>
      <c r="B18" s="8">
        <f>'Cable Database'!C14</f>
        <v>1</v>
      </c>
      <c r="C18" s="8">
        <f>'Cable Database'!D14</f>
        <v>95</v>
      </c>
      <c r="D18" s="11">
        <f>'Cable Database'!E14*(1+'Assumptions &amp; Sources'!$B$4*($B$5-'Assumptions &amp; Sources'!$B$8))</f>
        <v>0.24609430000000004</v>
      </c>
      <c r="E18" s="11">
        <f>'Cable Database'!H14</f>
        <v>0.08</v>
      </c>
      <c r="F18" s="19">
        <f t="shared" si="5"/>
        <v>282.92764804324634</v>
      </c>
      <c r="G18" s="19">
        <f t="shared" si="0"/>
        <v>267.73638967795011</v>
      </c>
      <c r="H18" s="19">
        <f t="shared" si="3"/>
        <v>281.52635921577655</v>
      </c>
      <c r="I18" s="19">
        <f t="shared" si="1"/>
        <v>266.64649222542971</v>
      </c>
      <c r="J18" s="19">
        <f t="shared" si="4"/>
        <v>609.5224472895145</v>
      </c>
      <c r="K18" s="19">
        <f t="shared" si="2"/>
        <v>28152.635921577657</v>
      </c>
    </row>
    <row r="19" spans="1:11">
      <c r="A19" s="8" t="str">
        <f>'Cable Database'!A15</f>
        <v>CV-FD 1C 120</v>
      </c>
      <c r="B19" s="8">
        <f>'Cable Database'!C15</f>
        <v>1</v>
      </c>
      <c r="C19" s="8">
        <f>'Cable Database'!D15</f>
        <v>120</v>
      </c>
      <c r="D19" s="11">
        <f>'Cable Database'!E15*(1+'Assumptions &amp; Sources'!$B$4*($B$5-'Assumptions &amp; Sources'!$B$8))</f>
        <v>0.19509030000000002</v>
      </c>
      <c r="E19" s="11">
        <f>'Cable Database'!H15</f>
        <v>0.08</v>
      </c>
      <c r="F19" s="19">
        <f t="shared" si="5"/>
        <v>339.49758332027466</v>
      </c>
      <c r="G19" s="19">
        <f t="shared" si="0"/>
        <v>329.4190920582505</v>
      </c>
      <c r="H19" s="19">
        <f t="shared" si="3"/>
        <v>355.12802175584886</v>
      </c>
      <c r="I19" s="19">
        <f t="shared" si="1"/>
        <v>328.07809754615693</v>
      </c>
      <c r="J19" s="19">
        <f t="shared" si="4"/>
        <v>768.87472109069483</v>
      </c>
      <c r="K19" s="19">
        <f t="shared" si="2"/>
        <v>35512.802175584889</v>
      </c>
    </row>
    <row r="20" spans="1:11">
      <c r="A20" s="8" t="str">
        <f>'Cable Database'!A16</f>
        <v>CV-FD 1C 150</v>
      </c>
      <c r="B20" s="8">
        <f>'Cable Database'!C16</f>
        <v>1</v>
      </c>
      <c r="C20" s="8">
        <f>'Cable Database'!D16</f>
        <v>150</v>
      </c>
      <c r="D20" s="11">
        <f>'Cable Database'!E16*(1+'Assumptions &amp; Sources'!$B$4*($B$5-'Assumptions &amp; Sources'!$B$8))</f>
        <v>0.15811240000000001</v>
      </c>
      <c r="E20" s="11">
        <f>'Cable Database'!H16</f>
        <v>0.08</v>
      </c>
      <c r="F20" s="19">
        <f t="shared" si="5"/>
        <v>397.05463961903985</v>
      </c>
      <c r="G20" s="19">
        <f t="shared" si="0"/>
        <v>395.47524915459172</v>
      </c>
      <c r="H20" s="19">
        <f t="shared" si="3"/>
        <v>438.18215587616839</v>
      </c>
      <c r="I20" s="19">
        <f t="shared" si="1"/>
        <v>393.86535418623521</v>
      </c>
      <c r="J20" s="19">
        <f t="shared" si="4"/>
        <v>948.69219618448642</v>
      </c>
      <c r="K20" s="19">
        <f t="shared" si="2"/>
        <v>43818.21558761684</v>
      </c>
    </row>
    <row r="21" spans="1:11">
      <c r="A21" s="8" t="str">
        <f>'Cable Database'!A17</f>
        <v>CV-FD 1C 185</v>
      </c>
      <c r="B21" s="8">
        <f>'Cable Database'!C17</f>
        <v>1</v>
      </c>
      <c r="C21" s="8">
        <f>'Cable Database'!D17</f>
        <v>185</v>
      </c>
      <c r="D21" s="11">
        <f>'Cable Database'!E17*(1+'Assumptions &amp; Sources'!$B$4*($B$5-'Assumptions &amp; Sources'!$B$8))</f>
        <v>0.12636241000000001</v>
      </c>
      <c r="E21" s="11">
        <f>'Cable Database'!H17</f>
        <v>0.08</v>
      </c>
      <c r="F21" s="19">
        <f t="shared" si="5"/>
        <v>464.69961607839201</v>
      </c>
      <c r="G21" s="19">
        <f t="shared" si="0"/>
        <v>477.72711982590039</v>
      </c>
      <c r="H21" s="19">
        <f t="shared" si="3"/>
        <v>548.28039685817237</v>
      </c>
      <c r="I21" s="19">
        <f t="shared" si="1"/>
        <v>475.78239512290259</v>
      </c>
      <c r="J21" s="19">
        <f t="shared" si="4"/>
        <v>1187.0618801904775</v>
      </c>
      <c r="K21" s="19">
        <f t="shared" si="2"/>
        <v>54828.039685817239</v>
      </c>
    </row>
    <row r="22" spans="1:11">
      <c r="A22" s="8" t="str">
        <f>'Cable Database'!A18</f>
        <v>CV-FD 1C 240</v>
      </c>
      <c r="B22" s="8">
        <f>'Cable Database'!C18</f>
        <v>1</v>
      </c>
      <c r="C22" s="8">
        <f>'Cable Database'!D18</f>
        <v>240</v>
      </c>
      <c r="D22" s="11">
        <f>'Cable Database'!E18*(1+'Assumptions &amp; Sources'!$B$4*($B$5-'Assumptions &amp; Sources'!$B$8))</f>
        <v>9.6142539999999999E-2</v>
      </c>
      <c r="E22" s="11">
        <f>'Cable Database'!H18</f>
        <v>0.08</v>
      </c>
      <c r="F22" s="19">
        <f t="shared" si="5"/>
        <v>554.63770717732575</v>
      </c>
      <c r="G22" s="19">
        <f t="shared" si="0"/>
        <v>595.63935066529666</v>
      </c>
      <c r="H22" s="19">
        <f t="shared" si="3"/>
        <v>720.61786908017098</v>
      </c>
      <c r="I22" s="19">
        <f t="shared" si="1"/>
        <v>593.21463054528647</v>
      </c>
      <c r="J22" s="19">
        <f t="shared" si="4"/>
        <v>1560.183452611092</v>
      </c>
      <c r="K22" s="19">
        <f t="shared" si="2"/>
        <v>72061.786908017093</v>
      </c>
    </row>
    <row r="24" spans="1:11">
      <c r="A24" s="152" t="s">
        <v>254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4"/>
    </row>
    <row r="27" spans="1:11" ht="20.100000000000001" customHeight="1">
      <c r="A27" s="155" t="s">
        <v>255</v>
      </c>
      <c r="B27" s="155" t="s">
        <v>255</v>
      </c>
      <c r="C27" s="155" t="s">
        <v>255</v>
      </c>
      <c r="D27" s="155" t="s">
        <v>255</v>
      </c>
      <c r="E27" s="155" t="s">
        <v>255</v>
      </c>
      <c r="F27" s="155" t="s">
        <v>255</v>
      </c>
      <c r="G27" s="155" t="s">
        <v>255</v>
      </c>
      <c r="H27" s="155" t="s">
        <v>255</v>
      </c>
      <c r="I27" s="155" t="s">
        <v>255</v>
      </c>
      <c r="J27" s="155" t="s">
        <v>255</v>
      </c>
      <c r="K27" s="155" t="s">
        <v>255</v>
      </c>
    </row>
    <row r="28" spans="1:11" ht="20.100000000000001" customHeight="1">
      <c r="A28" s="81" t="s">
        <v>256</v>
      </c>
      <c r="B28" s="81" t="s">
        <v>2</v>
      </c>
      <c r="D28" s="156" t="s">
        <v>257</v>
      </c>
      <c r="E28" s="156" t="s">
        <v>257</v>
      </c>
      <c r="F28" s="156" t="s">
        <v>257</v>
      </c>
      <c r="G28" s="156" t="s">
        <v>257</v>
      </c>
      <c r="H28" s="156" t="s">
        <v>257</v>
      </c>
      <c r="I28" s="156" t="s">
        <v>257</v>
      </c>
      <c r="J28" s="156" t="s">
        <v>257</v>
      </c>
      <c r="K28" s="156" t="s">
        <v>257</v>
      </c>
    </row>
    <row r="29" spans="1:11" ht="38.1" customHeight="1">
      <c r="A29" s="82" t="s">
        <v>258</v>
      </c>
      <c r="B29" s="83">
        <v>400</v>
      </c>
      <c r="D29" s="81" t="s">
        <v>142</v>
      </c>
      <c r="E29" s="81" t="s">
        <v>245</v>
      </c>
      <c r="F29" s="81" t="s">
        <v>145</v>
      </c>
      <c r="G29" s="81" t="s">
        <v>246</v>
      </c>
      <c r="H29" s="81" t="s">
        <v>247</v>
      </c>
      <c r="I29" s="81" t="s">
        <v>259</v>
      </c>
      <c r="J29" s="81" t="s">
        <v>260</v>
      </c>
      <c r="K29" s="81" t="s">
        <v>261</v>
      </c>
    </row>
    <row r="30" spans="1:11" ht="20.100000000000001" customHeight="1">
      <c r="A30" s="82" t="s">
        <v>262</v>
      </c>
      <c r="B30" s="84">
        <v>100</v>
      </c>
      <c r="D30" s="88" t="str">
        <f t="shared" ref="D30:D44" si="6">A8</f>
        <v>CV-FD 4C 10</v>
      </c>
      <c r="E30" s="88">
        <f t="shared" ref="E30:E44" si="7">B8</f>
        <v>4</v>
      </c>
      <c r="F30" s="90">
        <f t="shared" ref="F30:F44" si="8">C8</f>
        <v>10</v>
      </c>
      <c r="G30" s="97">
        <f t="shared" ref="G30:G44" si="9">D8</f>
        <v>2.3334330000000003</v>
      </c>
      <c r="H30" s="97">
        <f t="shared" ref="H30:H44" si="10">E8</f>
        <v>0.08</v>
      </c>
      <c r="I30" s="98">
        <f t="shared" ref="I30:I44" si="11">$B$29*$B$33*1000/(SQRT(3)*$B$30*(G30*$B$31+H30*SQRT(1-$B$31^2)))</f>
        <v>30.90545327639904</v>
      </c>
      <c r="J30" s="96">
        <f t="shared" ref="J30:J44" si="12">I30/$B$30</f>
        <v>0.30905453276399042</v>
      </c>
      <c r="K30" s="88" t="s">
        <v>263</v>
      </c>
    </row>
    <row r="31" spans="1:11" ht="20.100000000000001" customHeight="1">
      <c r="A31" s="82" t="s">
        <v>264</v>
      </c>
      <c r="B31" s="85">
        <v>0.95</v>
      </c>
      <c r="D31" s="88" t="str">
        <f t="shared" si="6"/>
        <v>CV-FD 1C 16</v>
      </c>
      <c r="E31" s="88">
        <f t="shared" si="7"/>
        <v>1</v>
      </c>
      <c r="F31" s="90">
        <f t="shared" si="8"/>
        <v>16</v>
      </c>
      <c r="G31" s="97">
        <f t="shared" si="9"/>
        <v>1.4663649999999999</v>
      </c>
      <c r="H31" s="97">
        <f t="shared" si="10"/>
        <v>0.08</v>
      </c>
      <c r="I31" s="98">
        <f t="shared" si="11"/>
        <v>48.858057645197853</v>
      </c>
      <c r="J31" s="96">
        <f t="shared" si="12"/>
        <v>0.48858057645197855</v>
      </c>
      <c r="K31" s="88" t="s">
        <v>263</v>
      </c>
    </row>
    <row r="32" spans="1:11" ht="20.100000000000001" customHeight="1">
      <c r="A32" s="82" t="s">
        <v>223</v>
      </c>
      <c r="B32" s="86">
        <f>$B$5</f>
        <v>90</v>
      </c>
      <c r="D32" s="88" t="str">
        <f t="shared" si="6"/>
        <v>CV-FD 4C 16</v>
      </c>
      <c r="E32" s="88">
        <f t="shared" si="7"/>
        <v>4</v>
      </c>
      <c r="F32" s="90">
        <f t="shared" si="8"/>
        <v>16</v>
      </c>
      <c r="G32" s="97">
        <f t="shared" si="9"/>
        <v>1.4663649999999999</v>
      </c>
      <c r="H32" s="97">
        <f t="shared" si="10"/>
        <v>0.08</v>
      </c>
      <c r="I32" s="98">
        <f t="shared" si="11"/>
        <v>48.858057645197853</v>
      </c>
      <c r="J32" s="96">
        <f t="shared" si="12"/>
        <v>0.48858057645197855</v>
      </c>
      <c r="K32" s="88" t="s">
        <v>263</v>
      </c>
    </row>
    <row r="33" spans="1:14" ht="20.100000000000001" customHeight="1">
      <c r="A33" s="82" t="s">
        <v>221</v>
      </c>
      <c r="B33" s="85">
        <f>$B$4</f>
        <v>0.03</v>
      </c>
      <c r="D33" s="88" t="str">
        <f t="shared" si="6"/>
        <v>CV-FD 1C 25</v>
      </c>
      <c r="E33" s="88">
        <f t="shared" si="7"/>
        <v>1</v>
      </c>
      <c r="F33" s="90">
        <f t="shared" si="8"/>
        <v>25</v>
      </c>
      <c r="G33" s="97">
        <f t="shared" si="9"/>
        <v>0.92699770000000004</v>
      </c>
      <c r="H33" s="97">
        <f t="shared" si="10"/>
        <v>0.08</v>
      </c>
      <c r="I33" s="98">
        <f t="shared" si="11"/>
        <v>76.501661905402599</v>
      </c>
      <c r="J33" s="96">
        <f t="shared" si="12"/>
        <v>0.76501661905402596</v>
      </c>
      <c r="K33" s="88" t="s">
        <v>263</v>
      </c>
    </row>
    <row r="34" spans="1:14" ht="20.100000000000001" customHeight="1">
      <c r="D34" s="88" t="str">
        <f t="shared" si="6"/>
        <v>CV-FD 4C 25</v>
      </c>
      <c r="E34" s="88">
        <f t="shared" si="7"/>
        <v>4</v>
      </c>
      <c r="F34" s="90">
        <f t="shared" si="8"/>
        <v>25</v>
      </c>
      <c r="G34" s="97">
        <f t="shared" si="9"/>
        <v>0.92699770000000004</v>
      </c>
      <c r="H34" s="97">
        <f t="shared" si="10"/>
        <v>0.08</v>
      </c>
      <c r="I34" s="98">
        <f t="shared" si="11"/>
        <v>76.501661905402599</v>
      </c>
      <c r="J34" s="96">
        <f t="shared" si="12"/>
        <v>0.76501661905402596</v>
      </c>
      <c r="K34" s="88" t="s">
        <v>263</v>
      </c>
    </row>
    <row r="35" spans="1:14" ht="20.100000000000001" customHeight="1">
      <c r="A35" s="148" t="s">
        <v>265</v>
      </c>
      <c r="B35" s="148" t="s">
        <v>265</v>
      </c>
      <c r="D35" s="88" t="str">
        <f t="shared" si="6"/>
        <v>CV-FD 1C 35</v>
      </c>
      <c r="E35" s="88">
        <f t="shared" si="7"/>
        <v>1</v>
      </c>
      <c r="F35" s="90">
        <f t="shared" si="8"/>
        <v>35</v>
      </c>
      <c r="G35" s="97">
        <f t="shared" si="9"/>
        <v>0.66815240000000009</v>
      </c>
      <c r="H35" s="97">
        <f t="shared" si="10"/>
        <v>0.08</v>
      </c>
      <c r="I35" s="98">
        <f t="shared" si="11"/>
        <v>105.01656939968274</v>
      </c>
      <c r="J35" s="96">
        <f t="shared" si="12"/>
        <v>1.0501656939968274</v>
      </c>
      <c r="K35" s="88" t="s">
        <v>263</v>
      </c>
    </row>
    <row r="36" spans="1:14">
      <c r="D36" s="88" t="str">
        <f t="shared" si="6"/>
        <v>CV-FD 4C 35</v>
      </c>
      <c r="E36" s="88">
        <f t="shared" si="7"/>
        <v>4</v>
      </c>
      <c r="F36" s="90">
        <f t="shared" si="8"/>
        <v>35</v>
      </c>
      <c r="G36" s="97">
        <f t="shared" si="9"/>
        <v>0.66815240000000009</v>
      </c>
      <c r="H36" s="97">
        <f t="shared" si="10"/>
        <v>0.08</v>
      </c>
      <c r="I36" s="98">
        <f t="shared" si="11"/>
        <v>105.01656939968274</v>
      </c>
      <c r="J36" s="96">
        <f t="shared" si="12"/>
        <v>1.0501656939968274</v>
      </c>
      <c r="K36" s="88" t="s">
        <v>263</v>
      </c>
    </row>
    <row r="37" spans="1:14">
      <c r="D37" s="88" t="str">
        <f t="shared" si="6"/>
        <v>CV-FD 1C 50</v>
      </c>
      <c r="E37" s="88">
        <f t="shared" si="7"/>
        <v>1</v>
      </c>
      <c r="F37" s="90">
        <f t="shared" si="8"/>
        <v>50</v>
      </c>
      <c r="G37" s="97">
        <f t="shared" si="9"/>
        <v>0.49346370000000006</v>
      </c>
      <c r="H37" s="97">
        <f t="shared" si="10"/>
        <v>0.08</v>
      </c>
      <c r="I37" s="98">
        <f t="shared" si="11"/>
        <v>140.31221249845527</v>
      </c>
      <c r="J37" s="96">
        <f t="shared" si="12"/>
        <v>1.4031221249845527</v>
      </c>
      <c r="K37" s="88" t="s">
        <v>263</v>
      </c>
    </row>
    <row r="38" spans="1:14">
      <c r="D38" s="88" t="str">
        <f t="shared" si="6"/>
        <v>CV-FD 1C 70</v>
      </c>
      <c r="E38" s="88">
        <f t="shared" si="7"/>
        <v>1</v>
      </c>
      <c r="F38" s="90">
        <f t="shared" si="8"/>
        <v>70</v>
      </c>
      <c r="G38" s="97">
        <f t="shared" si="9"/>
        <v>0.34172680000000005</v>
      </c>
      <c r="H38" s="97">
        <f t="shared" si="10"/>
        <v>0.08</v>
      </c>
      <c r="I38" s="98">
        <f t="shared" si="11"/>
        <v>198.16355681624887</v>
      </c>
      <c r="J38" s="96">
        <f t="shared" si="12"/>
        <v>1.9816355681624886</v>
      </c>
      <c r="K38" s="88" t="s">
        <v>263</v>
      </c>
    </row>
    <row r="39" spans="1:14">
      <c r="D39" s="88" t="str">
        <f t="shared" si="6"/>
        <v>CV-FD 4C 70</v>
      </c>
      <c r="E39" s="88">
        <f t="shared" si="7"/>
        <v>4</v>
      </c>
      <c r="F39" s="90">
        <f t="shared" si="8"/>
        <v>70</v>
      </c>
      <c r="G39" s="97">
        <f t="shared" si="9"/>
        <v>0.34172680000000005</v>
      </c>
      <c r="H39" s="97">
        <f t="shared" si="10"/>
        <v>0.08</v>
      </c>
      <c r="I39" s="98">
        <f t="shared" si="11"/>
        <v>198.16355681624887</v>
      </c>
      <c r="J39" s="96">
        <f t="shared" si="12"/>
        <v>1.9816355681624886</v>
      </c>
      <c r="K39" s="88" t="s">
        <v>263</v>
      </c>
    </row>
    <row r="40" spans="1:14">
      <c r="D40" s="88" t="str">
        <f t="shared" si="6"/>
        <v>CV-FD 1C 95</v>
      </c>
      <c r="E40" s="88">
        <f t="shared" si="7"/>
        <v>1</v>
      </c>
      <c r="F40" s="90">
        <f t="shared" si="8"/>
        <v>95</v>
      </c>
      <c r="G40" s="97">
        <f t="shared" si="9"/>
        <v>0.24609430000000004</v>
      </c>
      <c r="H40" s="97">
        <f t="shared" si="10"/>
        <v>0.08</v>
      </c>
      <c r="I40" s="98">
        <f t="shared" si="11"/>
        <v>267.73638967795011</v>
      </c>
      <c r="J40" s="96">
        <f t="shared" si="12"/>
        <v>2.677363896779501</v>
      </c>
      <c r="K40" s="88" t="s">
        <v>263</v>
      </c>
    </row>
    <row r="41" spans="1:14">
      <c r="D41" s="88" t="str">
        <f t="shared" si="6"/>
        <v>CV-FD 1C 120</v>
      </c>
      <c r="E41" s="88">
        <f t="shared" si="7"/>
        <v>1</v>
      </c>
      <c r="F41" s="90">
        <f t="shared" si="8"/>
        <v>120</v>
      </c>
      <c r="G41" s="97">
        <f t="shared" si="9"/>
        <v>0.19509030000000002</v>
      </c>
      <c r="H41" s="97">
        <f t="shared" si="10"/>
        <v>0.08</v>
      </c>
      <c r="I41" s="98">
        <f t="shared" si="11"/>
        <v>329.4190920582505</v>
      </c>
      <c r="J41" s="96">
        <f t="shared" si="12"/>
        <v>3.2941909205825048</v>
      </c>
      <c r="K41" s="88" t="s">
        <v>263</v>
      </c>
    </row>
    <row r="42" spans="1:14">
      <c r="D42" s="88" t="str">
        <f t="shared" si="6"/>
        <v>CV-FD 1C 150</v>
      </c>
      <c r="E42" s="88">
        <f t="shared" si="7"/>
        <v>1</v>
      </c>
      <c r="F42" s="90">
        <f t="shared" si="8"/>
        <v>150</v>
      </c>
      <c r="G42" s="97">
        <f t="shared" si="9"/>
        <v>0.15811240000000001</v>
      </c>
      <c r="H42" s="97">
        <f t="shared" si="10"/>
        <v>0.08</v>
      </c>
      <c r="I42" s="98">
        <f t="shared" si="11"/>
        <v>395.47524915459172</v>
      </c>
      <c r="J42" s="96">
        <f t="shared" si="12"/>
        <v>3.9547524915459173</v>
      </c>
      <c r="K42" s="88" t="s">
        <v>263</v>
      </c>
    </row>
    <row r="43" spans="1:14">
      <c r="D43" s="88" t="str">
        <f t="shared" si="6"/>
        <v>CV-FD 1C 185</v>
      </c>
      <c r="E43" s="88">
        <f t="shared" si="7"/>
        <v>1</v>
      </c>
      <c r="F43" s="90">
        <f t="shared" si="8"/>
        <v>185</v>
      </c>
      <c r="G43" s="97">
        <f t="shared" si="9"/>
        <v>0.12636241000000001</v>
      </c>
      <c r="H43" s="97">
        <f t="shared" si="10"/>
        <v>0.08</v>
      </c>
      <c r="I43" s="98">
        <f t="shared" si="11"/>
        <v>477.72711982590039</v>
      </c>
      <c r="J43" s="96">
        <f t="shared" si="12"/>
        <v>4.7772711982590037</v>
      </c>
      <c r="K43" s="88" t="s">
        <v>263</v>
      </c>
    </row>
    <row r="44" spans="1:14">
      <c r="D44" s="88" t="str">
        <f t="shared" si="6"/>
        <v>CV-FD 1C 240</v>
      </c>
      <c r="E44" s="88">
        <f t="shared" si="7"/>
        <v>1</v>
      </c>
      <c r="F44" s="90">
        <f t="shared" si="8"/>
        <v>240</v>
      </c>
      <c r="G44" s="97">
        <f t="shared" si="9"/>
        <v>9.6142539999999999E-2</v>
      </c>
      <c r="H44" s="97">
        <f t="shared" si="10"/>
        <v>0.08</v>
      </c>
      <c r="I44" s="98">
        <f t="shared" si="11"/>
        <v>595.63935066529666</v>
      </c>
      <c r="J44" s="96">
        <f t="shared" si="12"/>
        <v>5.956393506652967</v>
      </c>
      <c r="K44" s="88" t="s">
        <v>263</v>
      </c>
    </row>
    <row r="47" spans="1:14" ht="20.100000000000001" customHeight="1">
      <c r="A47" s="146" t="s">
        <v>371</v>
      </c>
      <c r="B47" s="146" t="s">
        <v>353</v>
      </c>
      <c r="C47" s="146" t="s">
        <v>353</v>
      </c>
      <c r="D47" s="146" t="s">
        <v>353</v>
      </c>
      <c r="E47" s="146" t="s">
        <v>353</v>
      </c>
      <c r="F47" s="146" t="s">
        <v>353</v>
      </c>
      <c r="G47" s="146" t="s">
        <v>353</v>
      </c>
      <c r="H47" s="146" t="s">
        <v>353</v>
      </c>
      <c r="I47" s="146" t="s">
        <v>353</v>
      </c>
      <c r="J47" s="146" t="s">
        <v>353</v>
      </c>
      <c r="K47" s="146" t="s">
        <v>353</v>
      </c>
      <c r="L47" s="146" t="s">
        <v>353</v>
      </c>
      <c r="M47" s="146" t="s">
        <v>353</v>
      </c>
      <c r="N47" s="146" t="s">
        <v>353</v>
      </c>
    </row>
    <row r="48" spans="1:14" ht="20.100000000000001" customHeight="1">
      <c r="A48" s="110" t="s">
        <v>354</v>
      </c>
      <c r="B48" s="110" t="s">
        <v>2</v>
      </c>
      <c r="D48" s="111" t="s">
        <v>355</v>
      </c>
      <c r="E48" s="111"/>
      <c r="F48" s="111"/>
      <c r="G48" s="111"/>
      <c r="H48" s="111"/>
      <c r="I48" s="111"/>
      <c r="J48" s="111"/>
      <c r="K48" s="117" t="s">
        <v>370</v>
      </c>
      <c r="L48" s="117" t="s">
        <v>370</v>
      </c>
      <c r="M48" s="123" t="s">
        <v>372</v>
      </c>
      <c r="N48" s="124">
        <f>B51</f>
        <v>100</v>
      </c>
    </row>
    <row r="49" spans="1:14" ht="42" customHeight="1">
      <c r="A49" s="121" t="s">
        <v>356</v>
      </c>
      <c r="B49" s="112">
        <v>230</v>
      </c>
      <c r="D49" s="110" t="s">
        <v>160</v>
      </c>
      <c r="E49" s="110" t="s">
        <v>357</v>
      </c>
      <c r="F49" s="110" t="s">
        <v>358</v>
      </c>
      <c r="G49" s="110" t="s">
        <v>359</v>
      </c>
      <c r="H49" s="110" t="s">
        <v>360</v>
      </c>
      <c r="I49" s="110" t="s">
        <v>361</v>
      </c>
      <c r="J49" s="110" t="s">
        <v>362</v>
      </c>
      <c r="K49" s="110" t="s">
        <v>363</v>
      </c>
      <c r="L49" s="110" t="s">
        <v>364</v>
      </c>
      <c r="M49" s="110" t="s">
        <v>365</v>
      </c>
      <c r="N49" s="110" t="s">
        <v>366</v>
      </c>
    </row>
    <row r="50" spans="1:14" ht="20.100000000000001" customHeight="1">
      <c r="A50" s="121" t="s">
        <v>367</v>
      </c>
      <c r="B50" s="112">
        <v>400</v>
      </c>
      <c r="D50" s="96">
        <v>1</v>
      </c>
      <c r="E50" s="118">
        <v>46</v>
      </c>
      <c r="F50" s="118">
        <v>40</v>
      </c>
      <c r="G50" s="96">
        <f t="shared" ref="G50:G67" si="13">E50*$B$51*$B$52/1000</f>
        <v>460</v>
      </c>
      <c r="H50" s="119">
        <f t="shared" ref="H50:H67" si="14">G50/$B$49</f>
        <v>2</v>
      </c>
      <c r="I50" s="96">
        <f t="shared" ref="I50:I67" si="15">F50*$B$51*$B$52/1000</f>
        <v>400</v>
      </c>
      <c r="J50" s="119">
        <f t="shared" ref="J50:J67" si="16">I50/$B$50</f>
        <v>1</v>
      </c>
      <c r="K50" s="120">
        <f t="shared" ref="K50:K67" si="17">$B$51*G50*$B$53</f>
        <v>43700</v>
      </c>
      <c r="L50" s="120">
        <f t="shared" ref="L50:L67" si="18">SQRT(3)*$B$51*I50*$B$53</f>
        <v>65817.930687617336</v>
      </c>
      <c r="M50" s="122">
        <f>$B$49*$B$54*1000/(E50*$B$51)</f>
        <v>1.4999999999999998</v>
      </c>
      <c r="N50" s="122">
        <f t="shared" ref="N50:N67" si="19">$B$50*$B$54*1000/(F50*$B$51)</f>
        <v>3</v>
      </c>
    </row>
    <row r="51" spans="1:14" ht="20.100000000000001" customHeight="1">
      <c r="A51" s="121" t="s">
        <v>262</v>
      </c>
      <c r="B51" s="113">
        <v>100</v>
      </c>
      <c r="D51" s="96">
        <v>1.5</v>
      </c>
      <c r="E51" s="118">
        <v>31</v>
      </c>
      <c r="F51" s="118">
        <v>27</v>
      </c>
      <c r="G51" s="96">
        <f t="shared" si="13"/>
        <v>310</v>
      </c>
      <c r="H51" s="119">
        <f t="shared" si="14"/>
        <v>1.3478260869565217</v>
      </c>
      <c r="I51" s="96">
        <f t="shared" si="15"/>
        <v>270</v>
      </c>
      <c r="J51" s="119">
        <f t="shared" si="16"/>
        <v>0.67500000000000004</v>
      </c>
      <c r="K51" s="120">
        <f t="shared" si="17"/>
        <v>29450</v>
      </c>
      <c r="L51" s="120">
        <f t="shared" si="18"/>
        <v>44427.103214141702</v>
      </c>
      <c r="M51" s="122">
        <f t="shared" ref="M51:M67" si="20">$B$49*$B$54*1000/(E51*$B$51)</f>
        <v>2.225806451612903</v>
      </c>
      <c r="N51" s="122">
        <f t="shared" si="19"/>
        <v>4.4444444444444446</v>
      </c>
    </row>
    <row r="52" spans="1:14" ht="20.100000000000001" customHeight="1">
      <c r="A52" s="121" t="s">
        <v>219</v>
      </c>
      <c r="B52" s="113">
        <v>100</v>
      </c>
      <c r="D52" s="96">
        <v>2.5</v>
      </c>
      <c r="E52" s="118">
        <v>19</v>
      </c>
      <c r="F52" s="118">
        <v>16</v>
      </c>
      <c r="G52" s="96">
        <f t="shared" si="13"/>
        <v>190</v>
      </c>
      <c r="H52" s="119">
        <f t="shared" si="14"/>
        <v>0.82608695652173914</v>
      </c>
      <c r="I52" s="96">
        <f t="shared" si="15"/>
        <v>160</v>
      </c>
      <c r="J52" s="119">
        <f t="shared" si="16"/>
        <v>0.4</v>
      </c>
      <c r="K52" s="120">
        <f t="shared" si="17"/>
        <v>18050</v>
      </c>
      <c r="L52" s="120">
        <f t="shared" si="18"/>
        <v>26327.172275046931</v>
      </c>
      <c r="M52" s="122">
        <f t="shared" si="20"/>
        <v>3.6315789473684208</v>
      </c>
      <c r="N52" s="122">
        <f t="shared" si="19"/>
        <v>7.5</v>
      </c>
    </row>
    <row r="53" spans="1:14" ht="20.100000000000001" customHeight="1">
      <c r="A53" s="121" t="s">
        <v>264</v>
      </c>
      <c r="B53" s="114">
        <v>0.95</v>
      </c>
      <c r="D53" s="96">
        <v>4</v>
      </c>
      <c r="E53" s="118">
        <v>12</v>
      </c>
      <c r="F53" s="118">
        <v>10</v>
      </c>
      <c r="G53" s="96">
        <f t="shared" si="13"/>
        <v>120</v>
      </c>
      <c r="H53" s="119">
        <f t="shared" si="14"/>
        <v>0.52173913043478259</v>
      </c>
      <c r="I53" s="96">
        <f t="shared" si="15"/>
        <v>100</v>
      </c>
      <c r="J53" s="119">
        <f t="shared" si="16"/>
        <v>0.25</v>
      </c>
      <c r="K53" s="120">
        <f t="shared" si="17"/>
        <v>11400</v>
      </c>
      <c r="L53" s="120">
        <f t="shared" si="18"/>
        <v>16454.482671904334</v>
      </c>
      <c r="M53" s="122">
        <f t="shared" si="20"/>
        <v>5.7499999999999991</v>
      </c>
      <c r="N53" s="122">
        <f t="shared" si="19"/>
        <v>12</v>
      </c>
    </row>
    <row r="54" spans="1:14" ht="20.100000000000001" customHeight="1">
      <c r="A54" s="121" t="s">
        <v>221</v>
      </c>
      <c r="B54" s="115">
        <f>$B$4</f>
        <v>0.03</v>
      </c>
      <c r="D54" s="96">
        <v>6</v>
      </c>
      <c r="E54" s="118">
        <v>7.9</v>
      </c>
      <c r="F54" s="118">
        <v>6.8</v>
      </c>
      <c r="G54" s="96">
        <f t="shared" si="13"/>
        <v>79</v>
      </c>
      <c r="H54" s="119">
        <f t="shared" si="14"/>
        <v>0.34347826086956523</v>
      </c>
      <c r="I54" s="96">
        <f t="shared" si="15"/>
        <v>68</v>
      </c>
      <c r="J54" s="119">
        <f t="shared" si="16"/>
        <v>0.17</v>
      </c>
      <c r="K54" s="120">
        <f t="shared" si="17"/>
        <v>7505</v>
      </c>
      <c r="L54" s="120">
        <f t="shared" si="18"/>
        <v>11189.048216894946</v>
      </c>
      <c r="M54" s="122">
        <f t="shared" si="20"/>
        <v>8.734177215189872</v>
      </c>
      <c r="N54" s="122">
        <f t="shared" si="19"/>
        <v>17.647058823529413</v>
      </c>
    </row>
    <row r="55" spans="1:14" ht="20.100000000000001" customHeight="1">
      <c r="D55" s="96">
        <v>10</v>
      </c>
      <c r="E55" s="118">
        <v>4.7</v>
      </c>
      <c r="F55" s="118">
        <v>4</v>
      </c>
      <c r="G55" s="96">
        <f t="shared" si="13"/>
        <v>47</v>
      </c>
      <c r="H55" s="119">
        <f t="shared" si="14"/>
        <v>0.20434782608695654</v>
      </c>
      <c r="I55" s="96">
        <f t="shared" si="15"/>
        <v>40</v>
      </c>
      <c r="J55" s="119">
        <f t="shared" si="16"/>
        <v>0.1</v>
      </c>
      <c r="K55" s="120">
        <f t="shared" si="17"/>
        <v>4465</v>
      </c>
      <c r="L55" s="120">
        <f t="shared" si="18"/>
        <v>6581.7930687617327</v>
      </c>
      <c r="M55" s="122">
        <f t="shared" si="20"/>
        <v>14.680851063829785</v>
      </c>
      <c r="N55" s="122">
        <f t="shared" si="19"/>
        <v>30</v>
      </c>
    </row>
    <row r="56" spans="1:14" ht="30" customHeight="1">
      <c r="A56" s="147" t="s">
        <v>368</v>
      </c>
      <c r="B56" s="147" t="s">
        <v>368</v>
      </c>
      <c r="D56" s="96">
        <v>16</v>
      </c>
      <c r="E56" s="118">
        <v>2.9</v>
      </c>
      <c r="F56" s="118">
        <v>2.5</v>
      </c>
      <c r="G56" s="96">
        <f t="shared" si="13"/>
        <v>29</v>
      </c>
      <c r="H56" s="119">
        <f t="shared" si="14"/>
        <v>0.12608695652173912</v>
      </c>
      <c r="I56" s="96">
        <f t="shared" si="15"/>
        <v>25</v>
      </c>
      <c r="J56" s="119">
        <f t="shared" si="16"/>
        <v>6.25E-2</v>
      </c>
      <c r="K56" s="120">
        <f t="shared" si="17"/>
        <v>2755</v>
      </c>
      <c r="L56" s="120">
        <f t="shared" si="18"/>
        <v>4113.6206679760835</v>
      </c>
      <c r="M56" s="122">
        <f t="shared" si="20"/>
        <v>23.793103448275858</v>
      </c>
      <c r="N56" s="122">
        <f t="shared" si="19"/>
        <v>48</v>
      </c>
    </row>
    <row r="57" spans="1:14" ht="20.100000000000001" customHeight="1">
      <c r="D57" s="96">
        <v>25</v>
      </c>
      <c r="E57" s="118">
        <v>1.85</v>
      </c>
      <c r="F57" s="118">
        <v>1.6</v>
      </c>
      <c r="G57" s="96">
        <f t="shared" si="13"/>
        <v>18.5</v>
      </c>
      <c r="H57" s="119">
        <f t="shared" si="14"/>
        <v>8.0434782608695646E-2</v>
      </c>
      <c r="I57" s="96">
        <f t="shared" si="15"/>
        <v>16</v>
      </c>
      <c r="J57" s="119">
        <f t="shared" si="16"/>
        <v>0.04</v>
      </c>
      <c r="K57" s="120">
        <f t="shared" si="17"/>
        <v>1757.5</v>
      </c>
      <c r="L57" s="120">
        <f t="shared" si="18"/>
        <v>2632.7172275046933</v>
      </c>
      <c r="M57" s="122">
        <f t="shared" si="20"/>
        <v>37.297297297297291</v>
      </c>
      <c r="N57" s="122">
        <f t="shared" si="19"/>
        <v>75</v>
      </c>
    </row>
    <row r="58" spans="1:14" ht="20.100000000000001" customHeight="1">
      <c r="D58" s="96">
        <v>35</v>
      </c>
      <c r="E58" s="118">
        <v>1.35</v>
      </c>
      <c r="F58" s="118">
        <v>1.1499999999999999</v>
      </c>
      <c r="G58" s="96">
        <f t="shared" si="13"/>
        <v>13.5</v>
      </c>
      <c r="H58" s="119">
        <f t="shared" si="14"/>
        <v>5.8695652173913045E-2</v>
      </c>
      <c r="I58" s="96">
        <f t="shared" si="15"/>
        <v>11.499999999999998</v>
      </c>
      <c r="J58" s="119">
        <f t="shared" si="16"/>
        <v>2.8749999999999994E-2</v>
      </c>
      <c r="K58" s="120">
        <f t="shared" si="17"/>
        <v>1282.5</v>
      </c>
      <c r="L58" s="120">
        <f t="shared" si="18"/>
        <v>1892.2655072689981</v>
      </c>
      <c r="M58" s="122">
        <f t="shared" si="20"/>
        <v>51.111111111111107</v>
      </c>
      <c r="N58" s="122">
        <f t="shared" si="19"/>
        <v>104.34782608695653</v>
      </c>
    </row>
    <row r="59" spans="1:14" ht="20.100000000000001" customHeight="1">
      <c r="D59" s="96">
        <v>50</v>
      </c>
      <c r="E59" s="118">
        <v>0.99</v>
      </c>
      <c r="F59" s="118">
        <v>0.86</v>
      </c>
      <c r="G59" s="96">
        <f t="shared" si="13"/>
        <v>9.9</v>
      </c>
      <c r="H59" s="119">
        <f t="shared" si="14"/>
        <v>4.3043478260869565E-2</v>
      </c>
      <c r="I59" s="96">
        <f t="shared" si="15"/>
        <v>8.6</v>
      </c>
      <c r="J59" s="119">
        <f t="shared" si="16"/>
        <v>2.1499999999999998E-2</v>
      </c>
      <c r="K59" s="120">
        <f t="shared" si="17"/>
        <v>940.5</v>
      </c>
      <c r="L59" s="120">
        <f t="shared" si="18"/>
        <v>1415.0855097837727</v>
      </c>
      <c r="M59" s="122">
        <f t="shared" si="20"/>
        <v>69.696969696969688</v>
      </c>
      <c r="N59" s="122">
        <f t="shared" si="19"/>
        <v>139.53488372093022</v>
      </c>
    </row>
    <row r="60" spans="1:14" ht="20.100000000000001" customHeight="1">
      <c r="D60" s="96">
        <v>70</v>
      </c>
      <c r="E60" s="118">
        <v>0.68</v>
      </c>
      <c r="F60" s="118">
        <v>0.6</v>
      </c>
      <c r="G60" s="96">
        <f t="shared" si="13"/>
        <v>6.8</v>
      </c>
      <c r="H60" s="119">
        <f t="shared" si="14"/>
        <v>2.9565217391304348E-2</v>
      </c>
      <c r="I60" s="96">
        <f t="shared" si="15"/>
        <v>6</v>
      </c>
      <c r="J60" s="119">
        <f t="shared" si="16"/>
        <v>1.4999999999999999E-2</v>
      </c>
      <c r="K60" s="120">
        <f t="shared" si="17"/>
        <v>646</v>
      </c>
      <c r="L60" s="120">
        <f t="shared" si="18"/>
        <v>987.26896031426008</v>
      </c>
      <c r="M60" s="122">
        <f t="shared" si="20"/>
        <v>101.4705882352941</v>
      </c>
      <c r="N60" s="122">
        <f t="shared" si="19"/>
        <v>200</v>
      </c>
    </row>
    <row r="61" spans="1:14" ht="20.100000000000001" customHeight="1">
      <c r="D61" s="96">
        <v>95</v>
      </c>
      <c r="E61" s="118">
        <v>0.52</v>
      </c>
      <c r="F61" s="118">
        <v>0.44</v>
      </c>
      <c r="G61" s="96">
        <f t="shared" si="13"/>
        <v>5.2</v>
      </c>
      <c r="H61" s="119">
        <f t="shared" si="14"/>
        <v>2.2608695652173914E-2</v>
      </c>
      <c r="I61" s="96">
        <f t="shared" si="15"/>
        <v>4.4000000000000004</v>
      </c>
      <c r="J61" s="119">
        <f t="shared" si="16"/>
        <v>1.1000000000000001E-2</v>
      </c>
      <c r="K61" s="120">
        <f t="shared" si="17"/>
        <v>494</v>
      </c>
      <c r="L61" s="120">
        <f t="shared" si="18"/>
        <v>723.99723756379069</v>
      </c>
      <c r="M61" s="122">
        <f t="shared" si="20"/>
        <v>132.69230769230768</v>
      </c>
      <c r="N61" s="122">
        <f t="shared" si="19"/>
        <v>272.72727272727275</v>
      </c>
    </row>
    <row r="62" spans="1:14" ht="20.100000000000001" customHeight="1">
      <c r="D62" s="96">
        <v>120</v>
      </c>
      <c r="E62" s="118">
        <v>0.42</v>
      </c>
      <c r="F62" s="118">
        <v>0.36</v>
      </c>
      <c r="G62" s="96">
        <f t="shared" si="13"/>
        <v>4.2</v>
      </c>
      <c r="H62" s="119">
        <f t="shared" si="14"/>
        <v>1.8260869565217393E-2</v>
      </c>
      <c r="I62" s="96">
        <f t="shared" si="15"/>
        <v>3.6</v>
      </c>
      <c r="J62" s="119">
        <f t="shared" si="16"/>
        <v>9.0000000000000011E-3</v>
      </c>
      <c r="K62" s="120">
        <f t="shared" si="17"/>
        <v>399</v>
      </c>
      <c r="L62" s="120">
        <f t="shared" si="18"/>
        <v>592.36137618855605</v>
      </c>
      <c r="M62" s="122">
        <f t="shared" si="20"/>
        <v>164.28571428571428</v>
      </c>
      <c r="N62" s="122">
        <f t="shared" si="19"/>
        <v>333.33333333333331</v>
      </c>
    </row>
    <row r="63" spans="1:14" ht="20.100000000000001" customHeight="1">
      <c r="D63" s="96">
        <v>150</v>
      </c>
      <c r="E63" s="118">
        <v>0.35</v>
      </c>
      <c r="F63" s="118">
        <v>0.31</v>
      </c>
      <c r="G63" s="96">
        <f t="shared" si="13"/>
        <v>3.5</v>
      </c>
      <c r="H63" s="119">
        <f t="shared" si="14"/>
        <v>1.5217391304347827E-2</v>
      </c>
      <c r="I63" s="96">
        <f t="shared" si="15"/>
        <v>3.1</v>
      </c>
      <c r="J63" s="119">
        <f t="shared" si="16"/>
        <v>7.7499999999999999E-3</v>
      </c>
      <c r="K63" s="120">
        <f t="shared" si="17"/>
        <v>332.5</v>
      </c>
      <c r="L63" s="120">
        <f t="shared" si="18"/>
        <v>510.0889628290343</v>
      </c>
      <c r="M63" s="122">
        <f t="shared" si="20"/>
        <v>197.14285714285711</v>
      </c>
      <c r="N63" s="122">
        <f t="shared" si="19"/>
        <v>387.09677419354841</v>
      </c>
    </row>
    <row r="64" spans="1:14" ht="20.100000000000001" customHeight="1">
      <c r="D64" s="96">
        <v>185</v>
      </c>
      <c r="E64" s="118">
        <v>0.3</v>
      </c>
      <c r="F64" s="118">
        <v>0.25</v>
      </c>
      <c r="G64" s="96">
        <f t="shared" si="13"/>
        <v>3</v>
      </c>
      <c r="H64" s="119">
        <f t="shared" si="14"/>
        <v>1.3043478260869565E-2</v>
      </c>
      <c r="I64" s="96">
        <f t="shared" si="15"/>
        <v>2.5</v>
      </c>
      <c r="J64" s="119">
        <f t="shared" si="16"/>
        <v>6.2500000000000003E-3</v>
      </c>
      <c r="K64" s="120">
        <f t="shared" si="17"/>
        <v>285</v>
      </c>
      <c r="L64" s="120">
        <f t="shared" si="18"/>
        <v>411.36206679760829</v>
      </c>
      <c r="M64" s="122">
        <f t="shared" si="20"/>
        <v>229.99999999999997</v>
      </c>
      <c r="N64" s="122">
        <f t="shared" si="19"/>
        <v>480</v>
      </c>
    </row>
    <row r="65" spans="1:14" ht="20.100000000000001" customHeight="1">
      <c r="D65" s="96">
        <v>240</v>
      </c>
      <c r="E65" s="118">
        <v>0.24</v>
      </c>
      <c r="F65" s="118">
        <v>0.22</v>
      </c>
      <c r="G65" s="96">
        <f t="shared" si="13"/>
        <v>2.4</v>
      </c>
      <c r="H65" s="119">
        <f t="shared" si="14"/>
        <v>1.0434782608695651E-2</v>
      </c>
      <c r="I65" s="96">
        <f t="shared" si="15"/>
        <v>2.2000000000000002</v>
      </c>
      <c r="J65" s="119">
        <f t="shared" si="16"/>
        <v>5.5000000000000005E-3</v>
      </c>
      <c r="K65" s="120">
        <f t="shared" si="17"/>
        <v>228</v>
      </c>
      <c r="L65" s="120">
        <f t="shared" si="18"/>
        <v>361.99861878189535</v>
      </c>
      <c r="M65" s="122">
        <f t="shared" si="20"/>
        <v>287.49999999999994</v>
      </c>
      <c r="N65" s="122">
        <f t="shared" si="19"/>
        <v>545.4545454545455</v>
      </c>
    </row>
    <row r="66" spans="1:14" ht="20.100000000000001" customHeight="1">
      <c r="D66" s="96">
        <v>300</v>
      </c>
      <c r="E66" s="118">
        <v>0.21</v>
      </c>
      <c r="F66" s="118">
        <v>0.18</v>
      </c>
      <c r="G66" s="96">
        <f t="shared" si="13"/>
        <v>2.1</v>
      </c>
      <c r="H66" s="119">
        <f t="shared" si="14"/>
        <v>9.1304347826086964E-3</v>
      </c>
      <c r="I66" s="96">
        <f t="shared" si="15"/>
        <v>1.8</v>
      </c>
      <c r="J66" s="119">
        <f t="shared" si="16"/>
        <v>4.5000000000000005E-3</v>
      </c>
      <c r="K66" s="120">
        <f t="shared" si="17"/>
        <v>199.5</v>
      </c>
      <c r="L66" s="120">
        <f t="shared" si="18"/>
        <v>296.18068809427803</v>
      </c>
      <c r="M66" s="122">
        <f t="shared" si="20"/>
        <v>328.57142857142856</v>
      </c>
      <c r="N66" s="122">
        <f t="shared" si="19"/>
        <v>666.66666666666663</v>
      </c>
    </row>
    <row r="67" spans="1:14" ht="20.100000000000001" customHeight="1">
      <c r="D67" s="96">
        <v>400</v>
      </c>
      <c r="E67" s="118">
        <v>0.19</v>
      </c>
      <c r="F67" s="118">
        <v>0.16</v>
      </c>
      <c r="G67" s="96">
        <f t="shared" si="13"/>
        <v>1.9</v>
      </c>
      <c r="H67" s="119">
        <f t="shared" si="14"/>
        <v>8.2608695652173908E-3</v>
      </c>
      <c r="I67" s="96">
        <f t="shared" si="15"/>
        <v>1.6</v>
      </c>
      <c r="J67" s="119">
        <f t="shared" si="16"/>
        <v>4.0000000000000001E-3</v>
      </c>
      <c r="K67" s="120">
        <f t="shared" si="17"/>
        <v>180.5</v>
      </c>
      <c r="L67" s="120">
        <f t="shared" si="18"/>
        <v>263.27172275046934</v>
      </c>
      <c r="M67" s="122">
        <f t="shared" si="20"/>
        <v>363.15789473684208</v>
      </c>
      <c r="N67" s="122">
        <f t="shared" si="19"/>
        <v>750</v>
      </c>
    </row>
    <row r="68" spans="1:14" ht="20.100000000000001" customHeight="1"/>
    <row r="69" spans="1:14" ht="32.1" customHeight="1">
      <c r="A69" s="147" t="s">
        <v>369</v>
      </c>
      <c r="B69" s="147" t="s">
        <v>369</v>
      </c>
      <c r="C69" s="147" t="s">
        <v>369</v>
      </c>
      <c r="D69" s="147" t="s">
        <v>369</v>
      </c>
      <c r="E69" s="147" t="s">
        <v>369</v>
      </c>
      <c r="F69" s="147" t="s">
        <v>369</v>
      </c>
      <c r="G69" s="147" t="s">
        <v>369</v>
      </c>
      <c r="H69" s="147" t="s">
        <v>369</v>
      </c>
      <c r="I69" s="147" t="s">
        <v>369</v>
      </c>
      <c r="J69" s="147" t="s">
        <v>369</v>
      </c>
      <c r="K69" s="147" t="s">
        <v>369</v>
      </c>
      <c r="L69" s="147" t="s">
        <v>369</v>
      </c>
      <c r="M69" s="147" t="s">
        <v>369</v>
      </c>
      <c r="N69" s="147" t="s">
        <v>369</v>
      </c>
    </row>
  </sheetData>
  <mergeCells count="9">
    <mergeCell ref="A47:N47"/>
    <mergeCell ref="A56:B56"/>
    <mergeCell ref="A69:N69"/>
    <mergeCell ref="A35:B35"/>
    <mergeCell ref="A1:K1"/>
    <mergeCell ref="D3:K3"/>
    <mergeCell ref="A24:K24"/>
    <mergeCell ref="A27:K27"/>
    <mergeCell ref="D28:K28"/>
  </mergeCells>
  <conditionalFormatting sqref="F8:J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0:H67">
    <cfRule type="cellIs" dxfId="5" priority="2" operator="lessThan">
      <formula>0.03</formula>
    </cfRule>
  </conditionalFormatting>
  <conditionalFormatting sqref="J50:J67">
    <cfRule type="cellIs" dxfId="4" priority="1" operator="lessThan">
      <formula>0.03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-0.249977111117893"/>
  </sheetPr>
  <dimension ref="A1:L33"/>
  <sheetViews>
    <sheetView showGridLines="0" workbookViewId="0">
      <selection sqref="A1:H1"/>
    </sheetView>
  </sheetViews>
  <sheetFormatPr defaultRowHeight="14.25"/>
  <cols>
    <col min="1" max="1" width="36" customWidth="1"/>
    <col min="2" max="2" width="42" customWidth="1"/>
    <col min="3" max="3" width="3" customWidth="1"/>
    <col min="4" max="4" width="36" customWidth="1"/>
    <col min="5" max="5" width="18" customWidth="1"/>
    <col min="6" max="8" width="3" customWidth="1"/>
    <col min="10" max="10" width="1.625" customWidth="1"/>
  </cols>
  <sheetData>
    <row r="1" spans="1:8" ht="24" customHeight="1">
      <c r="A1" s="137" t="s">
        <v>266</v>
      </c>
      <c r="B1" s="137" t="s">
        <v>266</v>
      </c>
      <c r="C1" s="137" t="s">
        <v>266</v>
      </c>
      <c r="D1" s="137" t="s">
        <v>266</v>
      </c>
      <c r="E1" s="137" t="s">
        <v>266</v>
      </c>
      <c r="F1" s="137" t="s">
        <v>266</v>
      </c>
      <c r="G1" s="137" t="s">
        <v>266</v>
      </c>
      <c r="H1" s="137" t="s">
        <v>266</v>
      </c>
    </row>
    <row r="2" spans="1:8">
      <c r="A2" s="22"/>
      <c r="B2" s="22"/>
      <c r="C2" s="22"/>
      <c r="D2" s="22"/>
      <c r="E2" s="22"/>
      <c r="F2" s="22"/>
      <c r="G2" s="22"/>
      <c r="H2" s="22"/>
    </row>
    <row r="3" spans="1:8">
      <c r="A3" s="139" t="s">
        <v>267</v>
      </c>
      <c r="B3" s="139" t="s">
        <v>267</v>
      </c>
      <c r="C3" s="139" t="s">
        <v>267</v>
      </c>
      <c r="D3" s="139" t="s">
        <v>267</v>
      </c>
      <c r="E3" s="139" t="s">
        <v>267</v>
      </c>
      <c r="F3" s="139" t="s">
        <v>267</v>
      </c>
      <c r="G3" s="139" t="s">
        <v>267</v>
      </c>
      <c r="H3" s="139" t="s">
        <v>267</v>
      </c>
    </row>
    <row r="4" spans="1:8">
      <c r="A4" s="22"/>
      <c r="B4" s="22"/>
      <c r="C4" s="22"/>
      <c r="D4" s="22"/>
      <c r="E4" s="22"/>
      <c r="F4" s="22"/>
      <c r="G4" s="22"/>
      <c r="H4" s="22"/>
    </row>
    <row r="5" spans="1:8">
      <c r="A5" s="39" t="s">
        <v>207</v>
      </c>
      <c r="B5" s="39" t="s">
        <v>208</v>
      </c>
      <c r="C5" s="22"/>
      <c r="D5" s="40" t="s">
        <v>268</v>
      </c>
      <c r="E5" s="44" t="s">
        <v>208</v>
      </c>
      <c r="F5" s="22"/>
      <c r="G5" s="22"/>
      <c r="H5" s="22"/>
    </row>
    <row r="6" spans="1:8">
      <c r="A6" s="23" t="s">
        <v>142</v>
      </c>
      <c r="B6" s="24" t="s">
        <v>193</v>
      </c>
      <c r="C6" s="22"/>
      <c r="D6" s="29" t="s">
        <v>146</v>
      </c>
      <c r="E6" s="45">
        <f>VLOOKUP($B$6,'DC Cable Database'!$A$4:$O$32,5,FALSE)</f>
        <v>3.39</v>
      </c>
      <c r="F6" s="22"/>
      <c r="G6" s="22"/>
      <c r="H6" s="22"/>
    </row>
    <row r="7" spans="1:8">
      <c r="A7" s="23" t="s">
        <v>269</v>
      </c>
      <c r="B7" s="24">
        <v>20</v>
      </c>
      <c r="C7" s="22"/>
      <c r="D7" s="29" t="s">
        <v>270</v>
      </c>
      <c r="E7" s="46">
        <f>'Panel Datasheet'!$B$6</f>
        <v>41</v>
      </c>
      <c r="F7" s="22"/>
      <c r="G7" s="22"/>
      <c r="H7" s="22"/>
    </row>
    <row r="8" spans="1:8">
      <c r="A8" s="23" t="s">
        <v>219</v>
      </c>
      <c r="B8" s="24">
        <v>100</v>
      </c>
      <c r="C8" s="22"/>
      <c r="D8" s="29" t="s">
        <v>271</v>
      </c>
      <c r="E8" s="46">
        <f>'Panel Datasheet'!$B$7</f>
        <v>17.690000000000001</v>
      </c>
      <c r="F8" s="22"/>
      <c r="G8" s="22"/>
      <c r="H8" s="22"/>
    </row>
    <row r="9" spans="1:8">
      <c r="A9" s="23" t="s">
        <v>221</v>
      </c>
      <c r="B9" s="25">
        <v>0.03</v>
      </c>
      <c r="C9" s="22"/>
      <c r="D9" s="29" t="s">
        <v>272</v>
      </c>
      <c r="E9" s="46">
        <f>'Panel Datasheet'!$B$8</f>
        <v>49.2</v>
      </c>
      <c r="F9" s="22"/>
      <c r="G9" s="22"/>
      <c r="H9" s="22"/>
    </row>
    <row r="10" spans="1:8">
      <c r="A10" s="23" t="s">
        <v>273</v>
      </c>
      <c r="B10" s="24">
        <v>90</v>
      </c>
      <c r="C10" s="22"/>
      <c r="D10" s="29" t="s">
        <v>274</v>
      </c>
      <c r="E10" s="46">
        <f>$B$7*E7</f>
        <v>820</v>
      </c>
      <c r="F10" s="22"/>
      <c r="G10" s="22"/>
      <c r="H10" s="22"/>
    </row>
    <row r="11" spans="1:8">
      <c r="A11" s="23" t="s">
        <v>275</v>
      </c>
      <c r="B11" s="24">
        <v>10</v>
      </c>
      <c r="C11" s="22"/>
      <c r="D11" s="29" t="s">
        <v>276</v>
      </c>
      <c r="E11" s="46">
        <f>E8</f>
        <v>17.690000000000001</v>
      </c>
      <c r="F11" s="22"/>
      <c r="G11" s="22"/>
      <c r="H11" s="22"/>
    </row>
    <row r="12" spans="1:8">
      <c r="A12" s="23" t="s">
        <v>277</v>
      </c>
      <c r="B12" s="24">
        <v>1100</v>
      </c>
      <c r="C12" s="22"/>
      <c r="D12" s="29" t="s">
        <v>278</v>
      </c>
      <c r="E12" s="46">
        <f>E10*E11</f>
        <v>14505.800000000001</v>
      </c>
      <c r="F12" s="22"/>
      <c r="G12" s="22"/>
      <c r="H12" s="22"/>
    </row>
    <row r="13" spans="1:8">
      <c r="A13" s="23" t="s">
        <v>227</v>
      </c>
      <c r="B13" s="43" t="s">
        <v>279</v>
      </c>
      <c r="C13" s="22"/>
      <c r="D13" s="29" t="s">
        <v>280</v>
      </c>
      <c r="E13" s="46">
        <f>E9*(1+'Panel Datasheet'!$B$14*($B$11-25))</f>
        <v>51.045000000000009</v>
      </c>
      <c r="F13" s="22"/>
      <c r="G13" s="22"/>
      <c r="H13" s="22"/>
    </row>
    <row r="14" spans="1:8">
      <c r="A14" s="23" t="s">
        <v>281</v>
      </c>
      <c r="B14" s="24" t="s">
        <v>282</v>
      </c>
      <c r="C14" s="22"/>
      <c r="D14" s="29" t="s">
        <v>283</v>
      </c>
      <c r="E14" s="46">
        <f>$B$7*E13</f>
        <v>1020.9000000000002</v>
      </c>
      <c r="F14" s="22"/>
      <c r="G14" s="22"/>
      <c r="H14" s="22"/>
    </row>
    <row r="15" spans="1:8">
      <c r="A15" s="22"/>
      <c r="B15" s="22"/>
      <c r="C15" s="22"/>
      <c r="D15" s="29" t="s">
        <v>168</v>
      </c>
      <c r="E15" s="47">
        <f>E6*(1+'Assumptions &amp; Sources'!$B$20*($B$10-'Assumptions &amp; Sources'!$B$8))</f>
        <v>4.3225890000000007</v>
      </c>
      <c r="F15" s="22"/>
      <c r="G15" s="22"/>
      <c r="H15" s="22"/>
    </row>
    <row r="16" spans="1:8">
      <c r="A16" s="22"/>
      <c r="B16" s="22"/>
      <c r="C16" s="22"/>
      <c r="D16" s="29" t="s">
        <v>284</v>
      </c>
      <c r="E16" s="47">
        <f>2*E15*$B$8/1000</f>
        <v>0.86451780000000011</v>
      </c>
      <c r="F16" s="22"/>
      <c r="G16" s="22"/>
      <c r="H16" s="22"/>
    </row>
    <row r="17" spans="1:12">
      <c r="A17" s="22"/>
      <c r="B17" s="22"/>
      <c r="C17" s="22"/>
      <c r="D17" s="29" t="s">
        <v>220</v>
      </c>
      <c r="E17" s="47">
        <f>E11*E16</f>
        <v>15.293319882000002</v>
      </c>
      <c r="F17" s="22"/>
      <c r="G17" s="22"/>
      <c r="H17" s="22"/>
    </row>
    <row r="18" spans="1:12">
      <c r="A18" s="22"/>
      <c r="B18" s="22"/>
      <c r="C18" s="22"/>
      <c r="D18" s="29" t="s">
        <v>285</v>
      </c>
      <c r="E18" s="48">
        <f>E17/E10</f>
        <v>1.8650390100000004E-2</v>
      </c>
      <c r="F18" s="22"/>
      <c r="G18" s="22"/>
      <c r="H18" s="22"/>
    </row>
    <row r="19" spans="1:12">
      <c r="A19" s="22"/>
      <c r="B19" s="108" t="s">
        <v>286</v>
      </c>
      <c r="C19" s="22"/>
      <c r="D19" s="29" t="s">
        <v>287</v>
      </c>
      <c r="E19" s="46">
        <f>E11^2*E16</f>
        <v>270.53882871258008</v>
      </c>
      <c r="F19" s="22"/>
      <c r="G19" s="22"/>
      <c r="H19" s="22"/>
    </row>
    <row r="20" spans="1:12">
      <c r="A20" s="22"/>
      <c r="B20" s="109" t="s">
        <v>233</v>
      </c>
      <c r="C20" s="22"/>
      <c r="D20" s="29" t="s">
        <v>288</v>
      </c>
      <c r="E20" s="48">
        <f>E19/E12</f>
        <v>1.8650390100000004E-2</v>
      </c>
      <c r="F20" s="22"/>
      <c r="G20" s="22"/>
      <c r="H20" s="22"/>
    </row>
    <row r="21" spans="1:12">
      <c r="A21" s="22"/>
      <c r="B21" s="109" t="s">
        <v>234</v>
      </c>
      <c r="C21" s="22"/>
      <c r="D21" s="29" t="s">
        <v>289</v>
      </c>
      <c r="E21" s="49">
        <f>E10*$B$9*1000/(2*E15*E11)</f>
        <v>160.8545442703635</v>
      </c>
      <c r="F21" s="65"/>
      <c r="G21" s="22"/>
      <c r="H21" s="22"/>
    </row>
    <row r="22" spans="1:12">
      <c r="A22" s="22"/>
      <c r="B22" s="109" t="s">
        <v>235</v>
      </c>
      <c r="C22" s="22"/>
      <c r="D22" s="29" t="s">
        <v>229</v>
      </c>
      <c r="E22" s="49">
        <f>E21-$B$8</f>
        <v>60.854544270363505</v>
      </c>
      <c r="F22" s="22"/>
      <c r="G22" s="22"/>
      <c r="H22" s="22"/>
    </row>
    <row r="23" spans="1:12">
      <c r="A23" s="22"/>
      <c r="B23" s="109" t="s">
        <v>236</v>
      </c>
      <c r="C23" s="22"/>
      <c r="D23" s="29" t="s">
        <v>290</v>
      </c>
      <c r="E23" s="49">
        <f>VLOOKUP($B$6,'DC Cable Database'!$A$4:$O$32,9,FALSE)</f>
        <v>57</v>
      </c>
      <c r="F23" s="65" t="s">
        <v>291</v>
      </c>
      <c r="G23" s="65"/>
      <c r="H23" s="65"/>
      <c r="I23" s="66"/>
      <c r="J23" s="66"/>
      <c r="K23" s="66"/>
      <c r="L23" s="66"/>
    </row>
    <row r="24" spans="1:12">
      <c r="A24" s="22"/>
      <c r="B24" s="109" t="s">
        <v>237</v>
      </c>
      <c r="C24" s="22"/>
      <c r="D24" s="29" t="s">
        <v>292</v>
      </c>
      <c r="E24" s="50" t="str">
        <f>IF(E23&gt;=E11,"PASS","CHECK")</f>
        <v>PASS</v>
      </c>
      <c r="F24" s="22"/>
      <c r="G24" s="22"/>
      <c r="H24" s="22"/>
    </row>
    <row r="25" spans="1:12">
      <c r="A25" s="22"/>
      <c r="B25" s="22"/>
      <c r="C25" s="22"/>
      <c r="D25" s="29" t="s">
        <v>293</v>
      </c>
      <c r="E25" s="51">
        <f>VLOOKUP($B$6,'DC Cable Database'!$A$4:$O$32,10,FALSE)*1000</f>
        <v>1500</v>
      </c>
      <c r="F25" s="22"/>
      <c r="G25" s="22"/>
      <c r="H25" s="22"/>
    </row>
    <row r="26" spans="1:12">
      <c r="A26" s="22"/>
      <c r="B26" s="22"/>
      <c r="C26" s="22"/>
      <c r="D26" s="29" t="s">
        <v>294</v>
      </c>
      <c r="E26" s="50" t="str">
        <f>IF(E14&lt;=E25,"PASS","CHECK")</f>
        <v>PASS</v>
      </c>
      <c r="F26" s="22"/>
      <c r="G26" s="22"/>
      <c r="H26" s="22"/>
    </row>
    <row r="27" spans="1:12">
      <c r="A27" s="22"/>
      <c r="B27" s="22"/>
      <c r="C27" s="22"/>
      <c r="D27" s="29" t="s">
        <v>295</v>
      </c>
      <c r="E27" s="51">
        <f>VLOOKUP($B$6,'DC Cable Database'!$A$4:$O$32,11,FALSE)</f>
        <v>120</v>
      </c>
      <c r="F27" s="22"/>
      <c r="G27" s="22"/>
      <c r="H27" s="22"/>
    </row>
    <row r="28" spans="1:12">
      <c r="A28" s="22"/>
      <c r="B28" s="22"/>
      <c r="C28" s="22"/>
      <c r="D28" s="29" t="s">
        <v>296</v>
      </c>
      <c r="E28" s="50" t="str">
        <f>IF($B$10&lt;=E27,"PASS","CHECK")</f>
        <v>PASS</v>
      </c>
      <c r="F28" s="22"/>
      <c r="G28" s="22"/>
      <c r="H28" s="22"/>
    </row>
    <row r="29" spans="1:12">
      <c r="A29" s="22"/>
      <c r="B29" s="22"/>
      <c r="C29" s="22"/>
      <c r="D29" s="29" t="s">
        <v>297</v>
      </c>
      <c r="E29" s="50" t="str">
        <f>IF(AND(E18&lt;=$B$9,E24="PASS",E26="PASS",E28="PASS"),"PASS","CHECK")</f>
        <v>PASS</v>
      </c>
      <c r="F29" s="22"/>
      <c r="G29" s="22"/>
      <c r="H29" s="22"/>
    </row>
    <row r="30" spans="1:12">
      <c r="A30" s="22"/>
      <c r="B30" s="22"/>
      <c r="C30" s="22"/>
      <c r="D30" s="22"/>
      <c r="E30" s="22"/>
      <c r="F30" s="22"/>
      <c r="G30" s="22"/>
      <c r="H30" s="22"/>
    </row>
    <row r="31" spans="1:12">
      <c r="A31" s="22"/>
      <c r="B31" s="22"/>
      <c r="C31" s="22"/>
      <c r="D31" s="157" t="s">
        <v>298</v>
      </c>
      <c r="E31" s="157" t="s">
        <v>298</v>
      </c>
      <c r="F31" s="157" t="s">
        <v>298</v>
      </c>
      <c r="G31" s="157" t="s">
        <v>298</v>
      </c>
      <c r="H31" s="157" t="s">
        <v>298</v>
      </c>
    </row>
    <row r="32" spans="1:12">
      <c r="A32" s="22"/>
      <c r="B32" s="22"/>
      <c r="C32" s="22"/>
      <c r="D32" s="22"/>
      <c r="E32" s="22"/>
      <c r="F32" s="22"/>
      <c r="G32" s="22"/>
      <c r="H32" s="22"/>
    </row>
    <row r="33" spans="1:8">
      <c r="A33" s="158" t="s">
        <v>299</v>
      </c>
      <c r="B33" s="158" t="s">
        <v>299</v>
      </c>
      <c r="C33" s="158" t="s">
        <v>299</v>
      </c>
      <c r="D33" s="158" t="s">
        <v>299</v>
      </c>
      <c r="E33" s="158" t="s">
        <v>299</v>
      </c>
      <c r="F33" s="158" t="s">
        <v>299</v>
      </c>
      <c r="G33" s="158" t="s">
        <v>299</v>
      </c>
      <c r="H33" s="158" t="s">
        <v>299</v>
      </c>
    </row>
  </sheetData>
  <mergeCells count="4">
    <mergeCell ref="A1:H1"/>
    <mergeCell ref="A3:H3"/>
    <mergeCell ref="D31:H31"/>
    <mergeCell ref="A33:H33"/>
  </mergeCells>
  <conditionalFormatting sqref="E24:E29">
    <cfRule type="containsText" dxfId="3" priority="1" operator="containsText" text="PASS"/>
    <cfRule type="containsText" dxfId="2" priority="2" operator="containsText" text="CHECK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:K51"/>
  <sheetViews>
    <sheetView showGridLines="0" workbookViewId="0"/>
  </sheetViews>
  <sheetFormatPr defaultRowHeight="14.25"/>
  <cols>
    <col min="1" max="1" width="36" customWidth="1"/>
    <col min="2" max="2" width="16" customWidth="1"/>
    <col min="3" max="3" width="12" customWidth="1"/>
    <col min="4" max="4" width="14" customWidth="1"/>
    <col min="5" max="5" width="18" customWidth="1"/>
    <col min="6" max="6" width="22" customWidth="1"/>
    <col min="7" max="10" width="18" customWidth="1"/>
    <col min="11" max="11" width="30.625" customWidth="1"/>
  </cols>
  <sheetData>
    <row r="1" spans="1:11" ht="24" customHeight="1">
      <c r="A1" s="137" t="s">
        <v>300</v>
      </c>
      <c r="B1" s="137" t="s">
        <v>300</v>
      </c>
      <c r="C1" s="137" t="s">
        <v>300</v>
      </c>
      <c r="D1" s="137" t="s">
        <v>300</v>
      </c>
      <c r="E1" s="137" t="s">
        <v>300</v>
      </c>
      <c r="F1" s="137" t="s">
        <v>300</v>
      </c>
      <c r="G1" s="137" t="s">
        <v>300</v>
      </c>
      <c r="H1" s="137" t="s">
        <v>300</v>
      </c>
      <c r="I1" s="137" t="s">
        <v>300</v>
      </c>
      <c r="J1" s="137" t="s">
        <v>300</v>
      </c>
      <c r="K1" s="137" t="s">
        <v>300</v>
      </c>
    </row>
    <row r="2" spans="1:1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25.5">
      <c r="A3" s="39" t="s">
        <v>239</v>
      </c>
      <c r="B3" s="39" t="s">
        <v>2</v>
      </c>
      <c r="C3" s="22"/>
      <c r="D3" s="40" t="s">
        <v>301</v>
      </c>
      <c r="E3" s="40" t="s">
        <v>2</v>
      </c>
      <c r="F3" s="22"/>
      <c r="G3" s="22"/>
      <c r="H3" s="22"/>
      <c r="I3" s="22"/>
      <c r="J3" s="22"/>
      <c r="K3" s="22"/>
    </row>
    <row r="4" spans="1:11" ht="38.25">
      <c r="A4" s="29" t="s">
        <v>114</v>
      </c>
      <c r="B4" s="69">
        <f>'Panel Datasheet'!$B$5</f>
        <v>725</v>
      </c>
      <c r="C4" s="22"/>
      <c r="D4" s="23" t="s">
        <v>273</v>
      </c>
      <c r="E4" s="71">
        <v>90</v>
      </c>
      <c r="F4" s="22"/>
      <c r="G4" s="22"/>
      <c r="H4" s="22"/>
      <c r="I4" s="22"/>
      <c r="J4" s="22"/>
      <c r="K4" s="22"/>
    </row>
    <row r="5" spans="1:11" ht="25.5">
      <c r="A5" s="29" t="s">
        <v>270</v>
      </c>
      <c r="B5" s="69">
        <f>'Panel Datasheet'!$B$6</f>
        <v>41</v>
      </c>
      <c r="C5" s="22"/>
      <c r="D5" s="23" t="s">
        <v>302</v>
      </c>
      <c r="E5" s="71">
        <v>10</v>
      </c>
      <c r="F5" s="22"/>
      <c r="G5" s="22"/>
      <c r="H5" s="22"/>
      <c r="I5" s="22"/>
      <c r="J5" s="22"/>
      <c r="K5" s="22"/>
    </row>
    <row r="6" spans="1:11">
      <c r="A6" s="29" t="s">
        <v>271</v>
      </c>
      <c r="B6" s="69">
        <f>'Panel Datasheet'!$B$7</f>
        <v>17.690000000000001</v>
      </c>
      <c r="C6" s="22"/>
      <c r="D6" s="23" t="s">
        <v>303</v>
      </c>
      <c r="E6" s="23" t="s">
        <v>304</v>
      </c>
      <c r="F6" s="22"/>
      <c r="G6" s="22"/>
      <c r="H6" s="22"/>
      <c r="I6" s="22"/>
      <c r="J6" s="22"/>
      <c r="K6" s="22"/>
    </row>
    <row r="7" spans="1:11" ht="25.5">
      <c r="A7" s="29" t="s">
        <v>305</v>
      </c>
      <c r="B7" s="70">
        <v>0.03</v>
      </c>
      <c r="C7" s="22"/>
      <c r="D7" s="23" t="s">
        <v>306</v>
      </c>
      <c r="E7" s="23" t="s">
        <v>307</v>
      </c>
      <c r="F7" s="22"/>
      <c r="G7" s="22"/>
      <c r="H7" s="22"/>
      <c r="I7" s="22"/>
      <c r="J7" s="22"/>
      <c r="K7" s="22"/>
    </row>
    <row r="8" spans="1:11" ht="25.5">
      <c r="A8" s="22"/>
      <c r="B8" s="22"/>
      <c r="C8" s="22"/>
      <c r="D8" s="23" t="s">
        <v>308</v>
      </c>
      <c r="E8" s="23" t="s">
        <v>309</v>
      </c>
      <c r="F8" s="22"/>
      <c r="G8" s="22"/>
      <c r="H8" s="22"/>
      <c r="I8" s="22"/>
      <c r="J8" s="22"/>
      <c r="K8" s="22"/>
    </row>
    <row r="9" spans="1:1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>
      <c r="A10" s="138" t="s">
        <v>310</v>
      </c>
      <c r="B10" s="138" t="s">
        <v>310</v>
      </c>
      <c r="C10" s="138" t="s">
        <v>310</v>
      </c>
      <c r="D10" s="138" t="s">
        <v>310</v>
      </c>
      <c r="E10" s="138" t="s">
        <v>310</v>
      </c>
      <c r="F10" s="138" t="s">
        <v>310</v>
      </c>
      <c r="G10" s="138" t="s">
        <v>310</v>
      </c>
      <c r="H10" s="138" t="s">
        <v>310</v>
      </c>
      <c r="I10" s="138" t="s">
        <v>310</v>
      </c>
      <c r="J10" s="138" t="s">
        <v>310</v>
      </c>
      <c r="K10" s="138" t="s">
        <v>310</v>
      </c>
    </row>
    <row r="11" spans="1:11">
      <c r="A11" s="40"/>
      <c r="B11" s="40"/>
      <c r="C11" s="40"/>
      <c r="D11" s="40"/>
      <c r="E11" s="40"/>
      <c r="F11" s="72" t="s">
        <v>311</v>
      </c>
      <c r="G11" s="72" t="s">
        <v>311</v>
      </c>
      <c r="H11" s="72" t="s">
        <v>311</v>
      </c>
      <c r="I11" s="72" t="s">
        <v>311</v>
      </c>
      <c r="J11" s="40" t="s">
        <v>312</v>
      </c>
      <c r="K11" s="40" t="s">
        <v>313</v>
      </c>
    </row>
    <row r="12" spans="1:11" ht="25.5">
      <c r="A12" s="39" t="s">
        <v>142</v>
      </c>
      <c r="B12" s="39" t="s">
        <v>158</v>
      </c>
      <c r="C12" s="39" t="s">
        <v>160</v>
      </c>
      <c r="D12" s="39" t="s">
        <v>314</v>
      </c>
      <c r="E12" s="39" t="s">
        <v>164</v>
      </c>
      <c r="F12" s="68">
        <v>0.01</v>
      </c>
      <c r="G12" s="68">
        <v>1.4999999999999999E-2</v>
      </c>
      <c r="H12" s="68">
        <v>0.02</v>
      </c>
      <c r="I12" s="68">
        <v>0.03</v>
      </c>
      <c r="J12" s="73">
        <f>B7</f>
        <v>0.03</v>
      </c>
      <c r="K12" s="73">
        <f>B7</f>
        <v>0.03</v>
      </c>
    </row>
    <row r="13" spans="1:11">
      <c r="A13" s="23" t="s">
        <v>175</v>
      </c>
      <c r="B13" s="23" t="str">
        <f>VLOOKUP($A13,'DC Cable Database'!$A$4:$O$32,2,FALSE)</f>
        <v>Phelps Dodge</v>
      </c>
      <c r="C13" s="34">
        <f>VLOOKUP($A13,'DC Cable Database'!$A$4:$O$32,4,FALSE)</f>
        <v>4</v>
      </c>
      <c r="D13" s="38">
        <f>VLOOKUP($A13,'DC Cable Database'!$A$4:$O$32,13,FALSE)</f>
        <v>6.490259</v>
      </c>
      <c r="E13" s="34">
        <f>VLOOKUP($A13,'DC Cable Database'!$A$4:$O$32,9,FALSE)</f>
        <v>44</v>
      </c>
      <c r="F13" s="34">
        <f>'Panel Datasheet'!$B$6*10*F$12*1000/(2*$D13*'Panel Datasheet'!$B$7)</f>
        <v>17.855170434726013</v>
      </c>
      <c r="G13" s="34">
        <f>'Panel Datasheet'!$B$6*10*G$12*1000/(2*$D13*'Panel Datasheet'!$B$7)</f>
        <v>26.782755652089012</v>
      </c>
      <c r="H13" s="34">
        <f>'Panel Datasheet'!$B$6*10*H$12*1000/(2*$D13*'Panel Datasheet'!$B$7)</f>
        <v>35.710340869452025</v>
      </c>
      <c r="I13" s="34">
        <f>'Panel Datasheet'!$B$6*10*I$12*1000/(2*$D13*'Panel Datasheet'!$B$7)</f>
        <v>53.565511304178024</v>
      </c>
      <c r="J13" s="34">
        <f>'Panel Datasheet'!$B$6*15*$B$7*1000/(2*$D13*'Panel Datasheet'!$B$7)</f>
        <v>80.348266956267054</v>
      </c>
      <c r="K13" s="34">
        <f>'Panel Datasheet'!$B$6*20*$B$7*1000/(2*$D13*'Panel Datasheet'!$B$7)</f>
        <v>107.13102260835605</v>
      </c>
    </row>
    <row r="14" spans="1:11">
      <c r="A14" s="23" t="s">
        <v>176</v>
      </c>
      <c r="B14" s="23" t="str">
        <f>VLOOKUP($A14,'DC Cable Database'!$A$4:$O$32,2,FALSE)</f>
        <v>Phelps Dodge</v>
      </c>
      <c r="C14" s="34">
        <f>VLOOKUP($A14,'DC Cable Database'!$A$4:$O$32,4,FALSE)</f>
        <v>6</v>
      </c>
      <c r="D14" s="38">
        <f>VLOOKUP($A14,'DC Cable Database'!$A$4:$O$32,13,FALSE)</f>
        <v>4.3225890000000007</v>
      </c>
      <c r="E14" s="34">
        <f>VLOOKUP($A14,'DC Cable Database'!$A$4:$O$32,9,FALSE)</f>
        <v>57</v>
      </c>
      <c r="F14" s="34">
        <f>'Panel Datasheet'!$B$6*10*F$12*1000/(2*$D14*'Panel Datasheet'!$B$7)</f>
        <v>26.809090711727251</v>
      </c>
      <c r="G14" s="34">
        <f>'Panel Datasheet'!$B$6*10*G$12*1000/(2*$D14*'Panel Datasheet'!$B$7)</f>
        <v>40.213636067590876</v>
      </c>
      <c r="H14" s="34">
        <f>'Panel Datasheet'!$B$6*10*H$12*1000/(2*$D14*'Panel Datasheet'!$B$7)</f>
        <v>53.618181423454502</v>
      </c>
      <c r="I14" s="34">
        <f>'Panel Datasheet'!$B$6*10*I$12*1000/(2*$D14*'Panel Datasheet'!$B$7)</f>
        <v>80.427272135181752</v>
      </c>
      <c r="J14" s="34">
        <f>'Panel Datasheet'!$B$6*15*$B$7*1000/(2*$D14*'Panel Datasheet'!$B$7)</f>
        <v>120.64090820277264</v>
      </c>
      <c r="K14" s="34">
        <f>'Panel Datasheet'!$B$6*20*$B$7*1000/(2*$D14*'Panel Datasheet'!$B$7)</f>
        <v>160.8545442703635</v>
      </c>
    </row>
    <row r="15" spans="1:11">
      <c r="A15" s="23" t="s">
        <v>177</v>
      </c>
      <c r="B15" s="23" t="str">
        <f>VLOOKUP($A15,'DC Cable Database'!$A$4:$O$32,2,FALSE)</f>
        <v>Phelps Dodge</v>
      </c>
      <c r="C15" s="34">
        <f>VLOOKUP($A15,'DC Cable Database'!$A$4:$O$32,4,FALSE)</f>
        <v>10</v>
      </c>
      <c r="D15" s="38">
        <f>VLOOKUP($A15,'DC Cable Database'!$A$4:$O$32,13,FALSE)</f>
        <v>2.4864450000000002</v>
      </c>
      <c r="E15" s="34">
        <f>VLOOKUP($A15,'DC Cable Database'!$A$4:$O$32,9,FALSE)</f>
        <v>79</v>
      </c>
      <c r="F15" s="34">
        <f>'Panel Datasheet'!$B$6*10*F$12*1000/(2*$D15*'Panel Datasheet'!$B$7)</f>
        <v>46.606573083464298</v>
      </c>
      <c r="G15" s="34">
        <f>'Panel Datasheet'!$B$6*10*G$12*1000/(2*$D15*'Panel Datasheet'!$B$7)</f>
        <v>69.909859625196447</v>
      </c>
      <c r="H15" s="34">
        <f>'Panel Datasheet'!$B$6*10*H$12*1000/(2*$D15*'Panel Datasheet'!$B$7)</f>
        <v>93.213146166928595</v>
      </c>
      <c r="I15" s="34">
        <f>'Panel Datasheet'!$B$6*10*I$12*1000/(2*$D15*'Panel Datasheet'!$B$7)</f>
        <v>139.81971925039289</v>
      </c>
      <c r="J15" s="34">
        <f>'Panel Datasheet'!$B$6*15*$B$7*1000/(2*$D15*'Panel Datasheet'!$B$7)</f>
        <v>209.72957887558934</v>
      </c>
      <c r="K15" s="34">
        <f>'Panel Datasheet'!$B$6*20*$B$7*1000/(2*$D15*'Panel Datasheet'!$B$7)</f>
        <v>279.63943850078579</v>
      </c>
    </row>
    <row r="16" spans="1:11">
      <c r="A16" s="23" t="s">
        <v>192</v>
      </c>
      <c r="B16" s="23" t="str">
        <f>VLOOKUP($A16,'DC Cable Database'!$A$4:$O$32,2,FALSE)</f>
        <v>Bangkok Cable</v>
      </c>
      <c r="C16" s="34">
        <f>VLOOKUP($A16,'DC Cable Database'!$A$4:$O$32,4,FALSE)</f>
        <v>4</v>
      </c>
      <c r="D16" s="38">
        <f>VLOOKUP($A16,'DC Cable Database'!$A$4:$O$32,13,FALSE)</f>
        <v>6.490259</v>
      </c>
      <c r="E16" s="34">
        <f>VLOOKUP($A16,'DC Cable Database'!$A$4:$O$32,9,FALSE)</f>
        <v>44</v>
      </c>
      <c r="F16" s="34">
        <f>'Panel Datasheet'!$B$6*10*F$12*1000/(2*$D16*'Panel Datasheet'!$B$7)</f>
        <v>17.855170434726013</v>
      </c>
      <c r="G16" s="34">
        <f>'Panel Datasheet'!$B$6*10*G$12*1000/(2*$D16*'Panel Datasheet'!$B$7)</f>
        <v>26.782755652089012</v>
      </c>
      <c r="H16" s="34">
        <f>'Panel Datasheet'!$B$6*10*H$12*1000/(2*$D16*'Panel Datasheet'!$B$7)</f>
        <v>35.710340869452025</v>
      </c>
      <c r="I16" s="34">
        <f>'Panel Datasheet'!$B$6*10*I$12*1000/(2*$D16*'Panel Datasheet'!$B$7)</f>
        <v>53.565511304178024</v>
      </c>
      <c r="J16" s="34">
        <f>'Panel Datasheet'!$B$6*15*$B$7*1000/(2*$D16*'Panel Datasheet'!$B$7)</f>
        <v>80.348266956267054</v>
      </c>
      <c r="K16" s="34">
        <f>'Panel Datasheet'!$B$6*20*$B$7*1000/(2*$D16*'Panel Datasheet'!$B$7)</f>
        <v>107.13102260835605</v>
      </c>
    </row>
    <row r="17" spans="1:11">
      <c r="A17" s="23" t="s">
        <v>193</v>
      </c>
      <c r="B17" s="23" t="str">
        <f>VLOOKUP($A17,'DC Cable Database'!$A$4:$O$32,2,FALSE)</f>
        <v>Bangkok Cable</v>
      </c>
      <c r="C17" s="34">
        <f>VLOOKUP($A17,'DC Cable Database'!$A$4:$O$32,4,FALSE)</f>
        <v>6</v>
      </c>
      <c r="D17" s="38">
        <f>VLOOKUP($A17,'DC Cable Database'!$A$4:$O$32,13,FALSE)</f>
        <v>4.3225890000000007</v>
      </c>
      <c r="E17" s="34">
        <f>VLOOKUP($A17,'DC Cable Database'!$A$4:$O$32,9,FALSE)</f>
        <v>57</v>
      </c>
      <c r="F17" s="34">
        <f>'Panel Datasheet'!$B$6*10*F$12*1000/(2*$D17*'Panel Datasheet'!$B$7)</f>
        <v>26.809090711727251</v>
      </c>
      <c r="G17" s="34">
        <f>'Panel Datasheet'!$B$6*10*G$12*1000/(2*$D17*'Panel Datasheet'!$B$7)</f>
        <v>40.213636067590876</v>
      </c>
      <c r="H17" s="34">
        <f>'Panel Datasheet'!$B$6*10*H$12*1000/(2*$D17*'Panel Datasheet'!$B$7)</f>
        <v>53.618181423454502</v>
      </c>
      <c r="I17" s="34">
        <f>'Panel Datasheet'!$B$6*10*I$12*1000/(2*$D17*'Panel Datasheet'!$B$7)</f>
        <v>80.427272135181752</v>
      </c>
      <c r="J17" s="34">
        <f>'Panel Datasheet'!$B$6*15*$B$7*1000/(2*$D17*'Panel Datasheet'!$B$7)</f>
        <v>120.64090820277264</v>
      </c>
      <c r="K17" s="34">
        <f>'Panel Datasheet'!$B$6*20*$B$7*1000/(2*$D17*'Panel Datasheet'!$B$7)</f>
        <v>160.8545442703635</v>
      </c>
    </row>
    <row r="18" spans="1:11">
      <c r="A18" s="23" t="s">
        <v>194</v>
      </c>
      <c r="B18" s="23" t="str">
        <f>VLOOKUP($A18,'DC Cable Database'!$A$4:$O$32,2,FALSE)</f>
        <v>Bangkok Cable</v>
      </c>
      <c r="C18" s="34">
        <f>VLOOKUP($A18,'DC Cable Database'!$A$4:$O$32,4,FALSE)</f>
        <v>10</v>
      </c>
      <c r="D18" s="38">
        <f>VLOOKUP($A18,'DC Cable Database'!$A$4:$O$32,13,FALSE)</f>
        <v>2.4864450000000002</v>
      </c>
      <c r="E18" s="34">
        <f>VLOOKUP($A18,'DC Cable Database'!$A$4:$O$32,9,FALSE)</f>
        <v>79</v>
      </c>
      <c r="F18" s="34">
        <f>'Panel Datasheet'!$B$6*10*F$12*1000/(2*$D18*'Panel Datasheet'!$B$7)</f>
        <v>46.606573083464298</v>
      </c>
      <c r="G18" s="34">
        <f>'Panel Datasheet'!$B$6*10*G$12*1000/(2*$D18*'Panel Datasheet'!$B$7)</f>
        <v>69.909859625196447</v>
      </c>
      <c r="H18" s="34">
        <f>'Panel Datasheet'!$B$6*10*H$12*1000/(2*$D18*'Panel Datasheet'!$B$7)</f>
        <v>93.213146166928595</v>
      </c>
      <c r="I18" s="34">
        <f>'Panel Datasheet'!$B$6*10*I$12*1000/(2*$D18*'Panel Datasheet'!$B$7)</f>
        <v>139.81971925039289</v>
      </c>
      <c r="J18" s="34">
        <f>'Panel Datasheet'!$B$6*15*$B$7*1000/(2*$D18*'Panel Datasheet'!$B$7)</f>
        <v>209.72957887558934</v>
      </c>
      <c r="K18" s="34">
        <f>'Panel Datasheet'!$B$6*20*$B$7*1000/(2*$D18*'Panel Datasheet'!$B$7)</f>
        <v>279.63943850078579</v>
      </c>
    </row>
    <row r="19" spans="1:1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11">
      <c r="A21" s="138" t="s">
        <v>315</v>
      </c>
      <c r="B21" s="138" t="s">
        <v>316</v>
      </c>
      <c r="C21" s="138" t="s">
        <v>316</v>
      </c>
      <c r="D21" s="138" t="s">
        <v>316</v>
      </c>
      <c r="E21" s="138" t="s">
        <v>316</v>
      </c>
      <c r="F21" s="138" t="s">
        <v>316</v>
      </c>
      <c r="G21" s="138" t="s">
        <v>316</v>
      </c>
      <c r="H21" s="138" t="s">
        <v>316</v>
      </c>
      <c r="I21" s="138" t="s">
        <v>316</v>
      </c>
      <c r="J21" s="138" t="s">
        <v>316</v>
      </c>
      <c r="K21" s="138" t="s">
        <v>316</v>
      </c>
    </row>
    <row r="22" spans="1:11" ht="25.5">
      <c r="A22" s="39" t="s">
        <v>142</v>
      </c>
      <c r="B22" s="39" t="s">
        <v>158</v>
      </c>
      <c r="C22" s="39" t="s">
        <v>160</v>
      </c>
      <c r="D22" s="39" t="s">
        <v>317</v>
      </c>
      <c r="E22" s="39" t="s">
        <v>318</v>
      </c>
      <c r="F22" s="39" t="s">
        <v>319</v>
      </c>
      <c r="G22" s="39" t="s">
        <v>320</v>
      </c>
      <c r="H22" s="39" t="s">
        <v>321</v>
      </c>
      <c r="I22" s="39" t="s">
        <v>322</v>
      </c>
      <c r="J22" s="39" t="s">
        <v>167</v>
      </c>
      <c r="K22" s="39" t="s">
        <v>151</v>
      </c>
    </row>
    <row r="23" spans="1:11" ht="25.5">
      <c r="A23" s="23" t="str">
        <f>'DC Cable Database'!A4</f>
        <v>Phelps Dodge H1Z2Z2-K 2.5 mm²</v>
      </c>
      <c r="B23" s="23" t="str">
        <f>'DC Cable Database'!B4</f>
        <v>Phelps Dodge</v>
      </c>
      <c r="C23" s="34">
        <f>'DC Cable Database'!D4</f>
        <v>2.5</v>
      </c>
      <c r="D23" s="38">
        <f>'DC Cable Database'!E4</f>
        <v>8.2100000000000009</v>
      </c>
      <c r="E23" s="38">
        <f>'DC Cable Database'!M4</f>
        <v>10.468571000000003</v>
      </c>
      <c r="F23" s="34">
        <f>'DC Cable Database'!I4</f>
        <v>33</v>
      </c>
      <c r="G23" s="34">
        <f>'Panel Datasheet'!$B$6*10*$B$7*1000/(2*$E23*'Panel Datasheet'!$B$7)</f>
        <v>33.209312124027541</v>
      </c>
      <c r="H23" s="34">
        <f>'Panel Datasheet'!$B$6*15*$B$7*1000/(2*$E23*'Panel Datasheet'!$B$7)</f>
        <v>49.813968186041315</v>
      </c>
      <c r="I23" s="34">
        <f>'Panel Datasheet'!$B$6*20*$B$7*1000/(2*$E23*'Panel Datasheet'!$B$7)</f>
        <v>66.418624248055082</v>
      </c>
      <c r="J23" s="34">
        <f>'DC Cable Database'!L4</f>
        <v>200</v>
      </c>
      <c r="K23" s="23" t="str">
        <f>'DC Cable Database'!O4</f>
        <v>Phelps_Dodge_PV_Cable_H1Z2Z2-K_Datasheet.pdf; datasheet VD column</v>
      </c>
    </row>
    <row r="24" spans="1:11" ht="25.5">
      <c r="A24" s="23" t="str">
        <f>'DC Cable Database'!A5</f>
        <v>Phelps Dodge H1Z2Z2-K 4 mm²</v>
      </c>
      <c r="B24" s="23" t="str">
        <f>'DC Cable Database'!B5</f>
        <v>Phelps Dodge</v>
      </c>
      <c r="C24" s="34">
        <f>'DC Cable Database'!D5</f>
        <v>4</v>
      </c>
      <c r="D24" s="38">
        <f>'DC Cable Database'!E5</f>
        <v>5.09</v>
      </c>
      <c r="E24" s="38">
        <f>'DC Cable Database'!M5</f>
        <v>6.490259</v>
      </c>
      <c r="F24" s="34">
        <f>'DC Cable Database'!I5</f>
        <v>44</v>
      </c>
      <c r="G24" s="34">
        <f>'Panel Datasheet'!$B$6*10*$B$7*1000/(2*$E24*'Panel Datasheet'!$B$7)</f>
        <v>53.565511304178024</v>
      </c>
      <c r="H24" s="34">
        <f>'Panel Datasheet'!$B$6*15*$B$7*1000/(2*$E24*'Panel Datasheet'!$B$7)</f>
        <v>80.348266956267054</v>
      </c>
      <c r="I24" s="34">
        <f>'Panel Datasheet'!$B$6*20*$B$7*1000/(2*$E24*'Panel Datasheet'!$B$7)</f>
        <v>107.13102260835605</v>
      </c>
      <c r="J24" s="34">
        <f>'DC Cable Database'!L5</f>
        <v>200</v>
      </c>
      <c r="K24" s="23" t="str">
        <f>'DC Cable Database'!O5</f>
        <v>Phelps_Dodge_PV_Cable_H1Z2Z2-K_Datasheet.pdf; datasheet VD column</v>
      </c>
    </row>
    <row r="25" spans="1:11" ht="25.5">
      <c r="A25" s="23" t="str">
        <f>'DC Cable Database'!A6</f>
        <v>Phelps Dodge H1Z2Z2-K 6 mm²</v>
      </c>
      <c r="B25" s="23" t="str">
        <f>'DC Cable Database'!B6</f>
        <v>Phelps Dodge</v>
      </c>
      <c r="C25" s="34">
        <f>'DC Cable Database'!D6</f>
        <v>6</v>
      </c>
      <c r="D25" s="38">
        <f>'DC Cable Database'!E6</f>
        <v>3.39</v>
      </c>
      <c r="E25" s="38">
        <f>'DC Cable Database'!M6</f>
        <v>4.3225890000000007</v>
      </c>
      <c r="F25" s="34">
        <f>'DC Cable Database'!I6</f>
        <v>57</v>
      </c>
      <c r="G25" s="34">
        <f>'Panel Datasheet'!$B$6*10*$B$7*1000/(2*$E25*'Panel Datasheet'!$B$7)</f>
        <v>80.427272135181752</v>
      </c>
      <c r="H25" s="34">
        <f>'Panel Datasheet'!$B$6*15*$B$7*1000/(2*$E25*'Panel Datasheet'!$B$7)</f>
        <v>120.64090820277264</v>
      </c>
      <c r="I25" s="34">
        <f>'Panel Datasheet'!$B$6*20*$B$7*1000/(2*$E25*'Panel Datasheet'!$B$7)</f>
        <v>160.8545442703635</v>
      </c>
      <c r="J25" s="34">
        <f>'DC Cable Database'!L6</f>
        <v>100</v>
      </c>
      <c r="K25" s="23" t="str">
        <f>'DC Cable Database'!O6</f>
        <v>Phelps_Dodge_PV_Cable_H1Z2Z2-K_Datasheet.pdf; datasheet VD column</v>
      </c>
    </row>
    <row r="26" spans="1:11" ht="25.5">
      <c r="A26" s="23" t="str">
        <f>'DC Cable Database'!A7</f>
        <v>Phelps Dodge H1Z2Z2-K 10 mm²</v>
      </c>
      <c r="B26" s="23" t="str">
        <f>'DC Cable Database'!B7</f>
        <v>Phelps Dodge</v>
      </c>
      <c r="C26" s="34">
        <f>'DC Cable Database'!D7</f>
        <v>10</v>
      </c>
      <c r="D26" s="38">
        <f>'DC Cable Database'!E7</f>
        <v>1.95</v>
      </c>
      <c r="E26" s="38">
        <f>'DC Cable Database'!M7</f>
        <v>2.4864450000000002</v>
      </c>
      <c r="F26" s="34">
        <f>'DC Cable Database'!I7</f>
        <v>79</v>
      </c>
      <c r="G26" s="34">
        <f>'Panel Datasheet'!$B$6*10*$B$7*1000/(2*$E26*'Panel Datasheet'!$B$7)</f>
        <v>139.81971925039289</v>
      </c>
      <c r="H26" s="34">
        <f>'Panel Datasheet'!$B$6*15*$B$7*1000/(2*$E26*'Panel Datasheet'!$B$7)</f>
        <v>209.72957887558934</v>
      </c>
      <c r="I26" s="34">
        <f>'Panel Datasheet'!$B$6*20*$B$7*1000/(2*$E26*'Panel Datasheet'!$B$7)</f>
        <v>279.63943850078579</v>
      </c>
      <c r="J26" s="34">
        <f>'DC Cable Database'!L7</f>
        <v>100</v>
      </c>
      <c r="K26" s="23" t="str">
        <f>'DC Cable Database'!O7</f>
        <v>Phelps_Dodge_PV_Cable_H1Z2Z2-K_Datasheet.pdf; datasheet VD column</v>
      </c>
    </row>
    <row r="27" spans="1:11" ht="25.5">
      <c r="A27" s="23" t="str">
        <f>'DC Cable Database'!A8</f>
        <v>Phelps Dodge H1Z2Z2-K 16 mm²</v>
      </c>
      <c r="B27" s="23" t="str">
        <f>'DC Cable Database'!B8</f>
        <v>Phelps Dodge</v>
      </c>
      <c r="C27" s="34">
        <f>'DC Cable Database'!D8</f>
        <v>16</v>
      </c>
      <c r="D27" s="38">
        <f>'DC Cable Database'!E8</f>
        <v>1.24</v>
      </c>
      <c r="E27" s="38">
        <f>'DC Cable Database'!M8</f>
        <v>1.5811240000000002</v>
      </c>
      <c r="F27" s="34">
        <f>'DC Cable Database'!I8</f>
        <v>107</v>
      </c>
      <c r="G27" s="34">
        <f>'Panel Datasheet'!$B$6*10*$B$7*1000/(2*$E27*'Panel Datasheet'!$B$7)</f>
        <v>219.87778430505332</v>
      </c>
      <c r="H27" s="34">
        <f>'Panel Datasheet'!$B$6*15*$B$7*1000/(2*$E27*'Panel Datasheet'!$B$7)</f>
        <v>329.81667645758</v>
      </c>
      <c r="I27" s="34">
        <f>'Panel Datasheet'!$B$6*20*$B$7*1000/(2*$E27*'Panel Datasheet'!$B$7)</f>
        <v>439.75556861010665</v>
      </c>
      <c r="J27" s="34">
        <f>'DC Cable Database'!L8</f>
        <v>100</v>
      </c>
      <c r="K27" s="23" t="str">
        <f>'DC Cable Database'!O8</f>
        <v>Phelps_Dodge_PV_Cable_H1Z2Z2-K_Datasheet.pdf; datasheet VD column</v>
      </c>
    </row>
    <row r="28" spans="1:11" ht="25.5">
      <c r="A28" s="23" t="str">
        <f>'DC Cable Database'!A9</f>
        <v>Phelps Dodge H1Z2Z2-K 25 mm²</v>
      </c>
      <c r="B28" s="23" t="str">
        <f>'DC Cable Database'!B9</f>
        <v>Phelps Dodge</v>
      </c>
      <c r="C28" s="34">
        <f>'DC Cable Database'!D9</f>
        <v>25</v>
      </c>
      <c r="D28" s="38">
        <f>'DC Cable Database'!E9</f>
        <v>0.79500000000000004</v>
      </c>
      <c r="E28" s="38">
        <f>'DC Cable Database'!M9</f>
        <v>1.0137045000000002</v>
      </c>
      <c r="F28" s="34">
        <f>'DC Cable Database'!I9</f>
        <v>142</v>
      </c>
      <c r="G28" s="34">
        <f>'Panel Datasheet'!$B$6*10*$B$7*1000/(2*$E28*'Panel Datasheet'!$B$7)</f>
        <v>342.95402835002022</v>
      </c>
      <c r="H28" s="34">
        <f>'Panel Datasheet'!$B$6*15*$B$7*1000/(2*$E28*'Panel Datasheet'!$B$7)</f>
        <v>514.43104252503042</v>
      </c>
      <c r="I28" s="34">
        <f>'Panel Datasheet'!$B$6*20*$B$7*1000/(2*$E28*'Panel Datasheet'!$B$7)</f>
        <v>685.90805670004045</v>
      </c>
      <c r="J28" s="34">
        <f>'DC Cable Database'!L9</f>
        <v>100</v>
      </c>
      <c r="K28" s="23" t="str">
        <f>'DC Cable Database'!O9</f>
        <v>Phelps_Dodge_PV_Cable_H1Z2Z2-K_Datasheet.pdf; datasheet VD column</v>
      </c>
    </row>
    <row r="29" spans="1:11" ht="25.5">
      <c r="A29" s="23" t="str">
        <f>'DC Cable Database'!A10</f>
        <v>Phelps Dodge H1Z2Z2-K 35 mm²</v>
      </c>
      <c r="B29" s="23" t="str">
        <f>'DC Cable Database'!B10</f>
        <v>Phelps Dodge</v>
      </c>
      <c r="C29" s="34">
        <f>'DC Cable Database'!D10</f>
        <v>35</v>
      </c>
      <c r="D29" s="38">
        <f>'DC Cable Database'!E10</f>
        <v>0.56499999999999995</v>
      </c>
      <c r="E29" s="38">
        <f>'DC Cable Database'!M10</f>
        <v>0.7204315</v>
      </c>
      <c r="F29" s="34">
        <f>'DC Cable Database'!I10</f>
        <v>176</v>
      </c>
      <c r="G29" s="34">
        <f>'Panel Datasheet'!$B$6*10*$B$7*1000/(2*$E29*'Panel Datasheet'!$B$7)</f>
        <v>482.56363281109054</v>
      </c>
      <c r="H29" s="34">
        <f>'Panel Datasheet'!$B$6*15*$B$7*1000/(2*$E29*'Panel Datasheet'!$B$7)</f>
        <v>723.84544921663587</v>
      </c>
      <c r="I29" s="34">
        <f>'Panel Datasheet'!$B$6*20*$B$7*1000/(2*$E29*'Panel Datasheet'!$B$7)</f>
        <v>965.12726562218108</v>
      </c>
      <c r="J29" s="34">
        <f>'DC Cable Database'!L10</f>
        <v>100</v>
      </c>
      <c r="K29" s="23" t="str">
        <f>'DC Cable Database'!O10</f>
        <v>Phelps_Dodge_PV_Cable_H1Z2Z2-K_Datasheet.pdf; datasheet VD column</v>
      </c>
    </row>
    <row r="30" spans="1:11" ht="25.5">
      <c r="A30" s="23" t="str">
        <f>'DC Cable Database'!A11</f>
        <v>Phelps Dodge H1Z2Z2-K 50 mm²</v>
      </c>
      <c r="B30" s="23" t="str">
        <f>'DC Cable Database'!B11</f>
        <v>Phelps Dodge</v>
      </c>
      <c r="C30" s="34">
        <f>'DC Cable Database'!D11</f>
        <v>50</v>
      </c>
      <c r="D30" s="38">
        <f>'DC Cable Database'!E11</f>
        <v>0.39300000000000002</v>
      </c>
      <c r="E30" s="38">
        <f>'DC Cable Database'!M11</f>
        <v>0.50111430000000012</v>
      </c>
      <c r="F30" s="34">
        <f>'DC Cable Database'!I11</f>
        <v>221</v>
      </c>
      <c r="G30" s="34">
        <f>'Panel Datasheet'!$B$6*10*$B$7*1000/(2*$E30*'Panel Datasheet'!$B$7)</f>
        <v>693.76196574622406</v>
      </c>
      <c r="H30" s="34">
        <f>'Panel Datasheet'!$B$6*15*$B$7*1000/(2*$E30*'Panel Datasheet'!$B$7)</f>
        <v>1040.6429486193363</v>
      </c>
      <c r="I30" s="34">
        <f>'Panel Datasheet'!$B$6*20*$B$7*1000/(2*$E30*'Panel Datasheet'!$B$7)</f>
        <v>1387.5239314924481</v>
      </c>
      <c r="J30" s="34">
        <f>'DC Cable Database'!L11</f>
        <v>100</v>
      </c>
      <c r="K30" s="23" t="str">
        <f>'DC Cable Database'!O11</f>
        <v>Phelps_Dodge_PV_Cable_H1Z2Z2-K_Datasheet.pdf; datasheet VD column</v>
      </c>
    </row>
    <row r="31" spans="1:11" ht="25.5">
      <c r="A31" s="23" t="str">
        <f>'DC Cable Database'!A12</f>
        <v>Phelps Dodge H1Z2Z2-K 70 mm²</v>
      </c>
      <c r="B31" s="23" t="str">
        <f>'DC Cable Database'!B12</f>
        <v>Phelps Dodge</v>
      </c>
      <c r="C31" s="34">
        <f>'DC Cable Database'!D12</f>
        <v>70</v>
      </c>
      <c r="D31" s="38">
        <f>'DC Cable Database'!E12</f>
        <v>0.27700000000000002</v>
      </c>
      <c r="E31" s="38">
        <f>'DC Cable Database'!M12</f>
        <v>0.35320270000000009</v>
      </c>
      <c r="F31" s="34">
        <f>'DC Cable Database'!I12</f>
        <v>278</v>
      </c>
      <c r="G31" s="34">
        <f>'Panel Datasheet'!$B$6*10*$B$7*1000/(2*$E31*'Panel Datasheet'!$B$7)</f>
        <v>984.29044237641176</v>
      </c>
      <c r="H31" s="34">
        <f>'Panel Datasheet'!$B$6*15*$B$7*1000/(2*$E31*'Panel Datasheet'!$B$7)</f>
        <v>1476.4356635646179</v>
      </c>
      <c r="I31" s="34">
        <f>'Panel Datasheet'!$B$6*20*$B$7*1000/(2*$E31*'Panel Datasheet'!$B$7)</f>
        <v>1968.5808847528235</v>
      </c>
      <c r="J31" s="34">
        <f>'DC Cable Database'!L12</f>
        <v>500</v>
      </c>
      <c r="K31" s="23" t="str">
        <f>'DC Cable Database'!O12</f>
        <v>Phelps_Dodge_PV_Cable_H1Z2Z2-K_Datasheet.pdf; datasheet VD column</v>
      </c>
    </row>
    <row r="32" spans="1:11" ht="25.5">
      <c r="A32" s="23" t="str">
        <f>'DC Cable Database'!A13</f>
        <v>Phelps Dodge H1Z2Z2-K 95 mm²</v>
      </c>
      <c r="B32" s="23" t="str">
        <f>'DC Cable Database'!B13</f>
        <v>Phelps Dodge</v>
      </c>
      <c r="C32" s="34">
        <f>'DC Cable Database'!D13</f>
        <v>95</v>
      </c>
      <c r="D32" s="38">
        <f>'DC Cable Database'!E13</f>
        <v>0.21</v>
      </c>
      <c r="E32" s="38">
        <f>'DC Cable Database'!M13</f>
        <v>0.26777100000000004</v>
      </c>
      <c r="F32" s="34">
        <f>'DC Cable Database'!I13</f>
        <v>333</v>
      </c>
      <c r="G32" s="34">
        <f>'Panel Datasheet'!$B$6*10*$B$7*1000/(2*$E32*'Panel Datasheet'!$B$7)</f>
        <v>1298.3259644679338</v>
      </c>
      <c r="H32" s="34">
        <f>'Panel Datasheet'!$B$6*15*$B$7*1000/(2*$E32*'Panel Datasheet'!$B$7)</f>
        <v>1947.4889467019009</v>
      </c>
      <c r="I32" s="34">
        <f>'Panel Datasheet'!$B$6*20*$B$7*1000/(2*$E32*'Panel Datasheet'!$B$7)</f>
        <v>2596.6519289358675</v>
      </c>
      <c r="J32" s="34">
        <f>'DC Cable Database'!L13</f>
        <v>500</v>
      </c>
      <c r="K32" s="23" t="str">
        <f>'DC Cable Database'!O13</f>
        <v>Phelps_Dodge_PV_Cable_H1Z2Z2-K_Datasheet.pdf; datasheet VD column</v>
      </c>
    </row>
    <row r="33" spans="1:11" ht="25.5">
      <c r="A33" s="23" t="str">
        <f>'DC Cable Database'!A14</f>
        <v>Phelps Dodge H1Z2Z2-K 120 mm²</v>
      </c>
      <c r="B33" s="23" t="str">
        <f>'DC Cable Database'!B14</f>
        <v>Phelps Dodge</v>
      </c>
      <c r="C33" s="34">
        <f>'DC Cable Database'!D14</f>
        <v>120</v>
      </c>
      <c r="D33" s="38">
        <f>'DC Cable Database'!E14</f>
        <v>0.16400000000000001</v>
      </c>
      <c r="E33" s="38">
        <f>'DC Cable Database'!M14</f>
        <v>0.20911640000000004</v>
      </c>
      <c r="F33" s="34">
        <f>'DC Cable Database'!I14</f>
        <v>390</v>
      </c>
      <c r="G33" s="34">
        <f>'Panel Datasheet'!$B$6*10*$B$7*1000/(2*$E33*'Panel Datasheet'!$B$7)</f>
        <v>1662.4905642577201</v>
      </c>
      <c r="H33" s="34">
        <f>'Panel Datasheet'!$B$6*15*$B$7*1000/(2*$E33*'Panel Datasheet'!$B$7)</f>
        <v>2493.7358463865808</v>
      </c>
      <c r="I33" s="34">
        <f>'Panel Datasheet'!$B$6*20*$B$7*1000/(2*$E33*'Panel Datasheet'!$B$7)</f>
        <v>3324.9811285154401</v>
      </c>
      <c r="J33" s="34">
        <f>'DC Cable Database'!L14</f>
        <v>500</v>
      </c>
      <c r="K33" s="23" t="str">
        <f>'DC Cable Database'!O14</f>
        <v>Phelps_Dodge_PV_Cable_H1Z2Z2-K_Datasheet.pdf; datasheet VD column</v>
      </c>
    </row>
    <row r="34" spans="1:11" ht="25.5">
      <c r="A34" s="23" t="str">
        <f>'DC Cable Database'!A15</f>
        <v>Phelps Dodge H1Z2Z2-K 150 mm²</v>
      </c>
      <c r="B34" s="23" t="str">
        <f>'DC Cable Database'!B15</f>
        <v>Phelps Dodge</v>
      </c>
      <c r="C34" s="34">
        <f>'DC Cable Database'!D15</f>
        <v>150</v>
      </c>
      <c r="D34" s="38">
        <f>'DC Cable Database'!E15</f>
        <v>0.13200000000000001</v>
      </c>
      <c r="E34" s="38">
        <f>'DC Cable Database'!M15</f>
        <v>0.16831320000000002</v>
      </c>
      <c r="F34" s="34">
        <f>'DC Cable Database'!I15</f>
        <v>453</v>
      </c>
      <c r="G34" s="34">
        <f>'Panel Datasheet'!$B$6*10*$B$7*1000/(2*$E34*'Panel Datasheet'!$B$7)</f>
        <v>2065.5185798353496</v>
      </c>
      <c r="H34" s="34">
        <f>'Panel Datasheet'!$B$6*15*$B$7*1000/(2*$E34*'Panel Datasheet'!$B$7)</f>
        <v>3098.2778697530248</v>
      </c>
      <c r="I34" s="34">
        <f>'Panel Datasheet'!$B$6*20*$B$7*1000/(2*$E34*'Panel Datasheet'!$B$7)</f>
        <v>4131.0371596706991</v>
      </c>
      <c r="J34" s="34">
        <f>'DC Cable Database'!L15</f>
        <v>500</v>
      </c>
      <c r="K34" s="23" t="str">
        <f>'DC Cable Database'!O15</f>
        <v>Phelps_Dodge_PV_Cable_H1Z2Z2-K_Datasheet.pdf; datasheet VD column</v>
      </c>
    </row>
    <row r="35" spans="1:11" ht="25.5">
      <c r="A35" s="23" t="str">
        <f>'DC Cable Database'!A16</f>
        <v>Phelps Dodge H1Z2Z2-K 185 mm²</v>
      </c>
      <c r="B35" s="23" t="str">
        <f>'DC Cable Database'!B16</f>
        <v>Phelps Dodge</v>
      </c>
      <c r="C35" s="34">
        <f>'DC Cable Database'!D16</f>
        <v>185</v>
      </c>
      <c r="D35" s="38">
        <f>'DC Cable Database'!E16</f>
        <v>0.108</v>
      </c>
      <c r="E35" s="38">
        <f>'DC Cable Database'!M16</f>
        <v>0.13771080000000002</v>
      </c>
      <c r="F35" s="34">
        <f>'DC Cable Database'!I16</f>
        <v>515</v>
      </c>
      <c r="G35" s="34">
        <f>'Panel Datasheet'!$B$6*10*$B$7*1000/(2*$E35*'Panel Datasheet'!$B$7)</f>
        <v>2524.5227086876489</v>
      </c>
      <c r="H35" s="34">
        <f>'Panel Datasheet'!$B$6*15*$B$7*1000/(2*$E35*'Panel Datasheet'!$B$7)</f>
        <v>3786.784063031474</v>
      </c>
      <c r="I35" s="34">
        <f>'Panel Datasheet'!$B$6*20*$B$7*1000/(2*$E35*'Panel Datasheet'!$B$7)</f>
        <v>5049.0454173752978</v>
      </c>
      <c r="J35" s="34">
        <f>'DC Cable Database'!L16</f>
        <v>500</v>
      </c>
      <c r="K35" s="23" t="str">
        <f>'DC Cable Database'!O16</f>
        <v>Phelps_Dodge_PV_Cable_H1Z2Z2-K_Datasheet.pdf; datasheet VD column</v>
      </c>
    </row>
    <row r="36" spans="1:11" ht="25.5">
      <c r="A36" s="23" t="str">
        <f>'DC Cable Database'!A17</f>
        <v>Phelps Dodge H1Z2Z2-K 240 mm²</v>
      </c>
      <c r="B36" s="23" t="str">
        <f>'DC Cable Database'!B17</f>
        <v>Phelps Dodge</v>
      </c>
      <c r="C36" s="34">
        <f>'DC Cable Database'!D17</f>
        <v>240</v>
      </c>
      <c r="D36" s="38">
        <f>'DC Cable Database'!E17</f>
        <v>8.1699999999999995E-2</v>
      </c>
      <c r="E36" s="38">
        <f>'DC Cable Database'!M17</f>
        <v>0.10417567</v>
      </c>
      <c r="F36" s="34">
        <f>'DC Cable Database'!I17</f>
        <v>620</v>
      </c>
      <c r="G36" s="34">
        <f>'Panel Datasheet'!$B$6*10*$B$7*1000/(2*$E36*'Panel Datasheet'!$B$7)</f>
        <v>3337.1903615454853</v>
      </c>
      <c r="H36" s="34">
        <f>'Panel Datasheet'!$B$6*15*$B$7*1000/(2*$E36*'Panel Datasheet'!$B$7)</f>
        <v>5005.7855423182291</v>
      </c>
      <c r="I36" s="34">
        <f>'Panel Datasheet'!$B$6*20*$B$7*1000/(2*$E36*'Panel Datasheet'!$B$7)</f>
        <v>6674.3807230909706</v>
      </c>
      <c r="J36" s="34">
        <f>'DC Cable Database'!L17</f>
        <v>500</v>
      </c>
      <c r="K36" s="23" t="str">
        <f>'DC Cable Database'!O17</f>
        <v>Phelps_Dodge_PV_Cable_H1Z2Z2-K_Datasheet.pdf; datasheet VD column</v>
      </c>
    </row>
    <row r="37" spans="1:11" ht="38.25">
      <c r="A37" s="23" t="str">
        <f>'DC Cable Database'!A18</f>
        <v>Bangkok Cable H1Z2Z2-K 1.5 mm²</v>
      </c>
      <c r="B37" s="23" t="str">
        <f>'DC Cable Database'!B18</f>
        <v>Bangkok Cable</v>
      </c>
      <c r="C37" s="34">
        <f>'DC Cable Database'!D18</f>
        <v>1.5</v>
      </c>
      <c r="D37" s="38">
        <f>'DC Cable Database'!E18</f>
        <v>13.7</v>
      </c>
      <c r="E37" s="38">
        <f>'DC Cable Database'!M18</f>
        <v>17.468869999999999</v>
      </c>
      <c r="F37" s="34">
        <f>'DC Cable Database'!I18</f>
        <v>24</v>
      </c>
      <c r="G37" s="34">
        <f>'Panel Datasheet'!$B$6*10*$B$7*1000/(2*$E37*'Panel Datasheet'!$B$7)</f>
        <v>19.901346900603368</v>
      </c>
      <c r="H37" s="34">
        <f>'Panel Datasheet'!$B$6*15*$B$7*1000/(2*$E37*'Panel Datasheet'!$B$7)</f>
        <v>29.852020350905057</v>
      </c>
      <c r="I37" s="34">
        <f>'Panel Datasheet'!$B$6*20*$B$7*1000/(2*$E37*'Panel Datasheet'!$B$7)</f>
        <v>39.802693801206736</v>
      </c>
      <c r="J37" s="34">
        <f>'DC Cable Database'!L18</f>
        <v>200</v>
      </c>
      <c r="K37" s="23" t="str">
        <f>'DC Cable Database'!O18</f>
        <v>Bangkok_Cable_H1Z2Z2-K_PV_Cable_Datasheet.pdf; attached table</v>
      </c>
    </row>
    <row r="38" spans="1:11" ht="38.25">
      <c r="A38" s="23" t="str">
        <f>'DC Cable Database'!A19</f>
        <v>Bangkok Cable H1Z2Z2-K 2.5 mm²</v>
      </c>
      <c r="B38" s="23" t="str">
        <f>'DC Cable Database'!B19</f>
        <v>Bangkok Cable</v>
      </c>
      <c r="C38" s="34">
        <f>'DC Cable Database'!D19</f>
        <v>2.5</v>
      </c>
      <c r="D38" s="38">
        <f>'DC Cable Database'!E19</f>
        <v>8.2100000000000009</v>
      </c>
      <c r="E38" s="38">
        <f>'DC Cable Database'!M19</f>
        <v>10.468571000000003</v>
      </c>
      <c r="F38" s="34">
        <f>'DC Cable Database'!I19</f>
        <v>33</v>
      </c>
      <c r="G38" s="34">
        <f>'Panel Datasheet'!$B$6*10*$B$7*1000/(2*$E38*'Panel Datasheet'!$B$7)</f>
        <v>33.209312124027541</v>
      </c>
      <c r="H38" s="34">
        <f>'Panel Datasheet'!$B$6*15*$B$7*1000/(2*$E38*'Panel Datasheet'!$B$7)</f>
        <v>49.813968186041315</v>
      </c>
      <c r="I38" s="34">
        <f>'Panel Datasheet'!$B$6*20*$B$7*1000/(2*$E38*'Panel Datasheet'!$B$7)</f>
        <v>66.418624248055082</v>
      </c>
      <c r="J38" s="34">
        <f>'DC Cable Database'!L19</f>
        <v>200</v>
      </c>
      <c r="K38" s="23" t="str">
        <f>'DC Cable Database'!O19</f>
        <v>Bangkok_Cable_H1Z2Z2-K_PV_Cable_Datasheet.pdf; attached table</v>
      </c>
    </row>
    <row r="39" spans="1:11" ht="38.25">
      <c r="A39" s="23" t="str">
        <f>'DC Cable Database'!A20</f>
        <v>Bangkok Cable H1Z2Z2-K 4 mm²</v>
      </c>
      <c r="B39" s="23" t="str">
        <f>'DC Cable Database'!B20</f>
        <v>Bangkok Cable</v>
      </c>
      <c r="C39" s="34">
        <f>'DC Cable Database'!D20</f>
        <v>4</v>
      </c>
      <c r="D39" s="38">
        <f>'DC Cable Database'!E20</f>
        <v>5.09</v>
      </c>
      <c r="E39" s="38">
        <f>'DC Cable Database'!M20</f>
        <v>6.490259</v>
      </c>
      <c r="F39" s="34">
        <f>'DC Cable Database'!I20</f>
        <v>44</v>
      </c>
      <c r="G39" s="34">
        <f>'Panel Datasheet'!$B$6*10*$B$7*1000/(2*$E39*'Panel Datasheet'!$B$7)</f>
        <v>53.565511304178024</v>
      </c>
      <c r="H39" s="34">
        <f>'Panel Datasheet'!$B$6*15*$B$7*1000/(2*$E39*'Panel Datasheet'!$B$7)</f>
        <v>80.348266956267054</v>
      </c>
      <c r="I39" s="34">
        <f>'Panel Datasheet'!$B$6*20*$B$7*1000/(2*$E39*'Panel Datasheet'!$B$7)</f>
        <v>107.13102260835605</v>
      </c>
      <c r="J39" s="34">
        <f>'DC Cable Database'!L20</f>
        <v>200</v>
      </c>
      <c r="K39" s="23" t="str">
        <f>'DC Cable Database'!O20</f>
        <v>Bangkok_Cable_H1Z2Z2-K_PV_Cable_Datasheet.pdf; attached table</v>
      </c>
    </row>
    <row r="40" spans="1:11" ht="38.25">
      <c r="A40" s="23" t="str">
        <f>'DC Cable Database'!A21</f>
        <v>Bangkok Cable H1Z2Z2-K 6 mm²</v>
      </c>
      <c r="B40" s="23" t="str">
        <f>'DC Cable Database'!B21</f>
        <v>Bangkok Cable</v>
      </c>
      <c r="C40" s="34">
        <f>'DC Cable Database'!D21</f>
        <v>6</v>
      </c>
      <c r="D40" s="38">
        <f>'DC Cable Database'!E21</f>
        <v>3.39</v>
      </c>
      <c r="E40" s="38">
        <f>'DC Cable Database'!M21</f>
        <v>4.3225890000000007</v>
      </c>
      <c r="F40" s="34">
        <f>'DC Cable Database'!I21</f>
        <v>57</v>
      </c>
      <c r="G40" s="34">
        <f>'Panel Datasheet'!$B$6*10*$B$7*1000/(2*$E40*'Panel Datasheet'!$B$7)</f>
        <v>80.427272135181752</v>
      </c>
      <c r="H40" s="34">
        <f>'Panel Datasheet'!$B$6*15*$B$7*1000/(2*$E40*'Panel Datasheet'!$B$7)</f>
        <v>120.64090820277264</v>
      </c>
      <c r="I40" s="34">
        <f>'Panel Datasheet'!$B$6*20*$B$7*1000/(2*$E40*'Panel Datasheet'!$B$7)</f>
        <v>160.8545442703635</v>
      </c>
      <c r="J40" s="34">
        <f>'DC Cable Database'!L21</f>
        <v>100</v>
      </c>
      <c r="K40" s="23" t="str">
        <f>'DC Cable Database'!O21</f>
        <v>Bangkok_Cable_H1Z2Z2-K_PV_Cable_Datasheet.pdf; attached table</v>
      </c>
    </row>
    <row r="41" spans="1:11" ht="38.25">
      <c r="A41" s="23" t="str">
        <f>'DC Cable Database'!A22</f>
        <v>Bangkok Cable H1Z2Z2-K 10 mm²</v>
      </c>
      <c r="B41" s="23" t="str">
        <f>'DC Cable Database'!B22</f>
        <v>Bangkok Cable</v>
      </c>
      <c r="C41" s="34">
        <f>'DC Cable Database'!D22</f>
        <v>10</v>
      </c>
      <c r="D41" s="38">
        <f>'DC Cable Database'!E22</f>
        <v>1.95</v>
      </c>
      <c r="E41" s="38">
        <f>'DC Cable Database'!M22</f>
        <v>2.4864450000000002</v>
      </c>
      <c r="F41" s="34">
        <f>'DC Cable Database'!I22</f>
        <v>79</v>
      </c>
      <c r="G41" s="34">
        <f>'Panel Datasheet'!$B$6*10*$B$7*1000/(2*$E41*'Panel Datasheet'!$B$7)</f>
        <v>139.81971925039289</v>
      </c>
      <c r="H41" s="34">
        <f>'Panel Datasheet'!$B$6*15*$B$7*1000/(2*$E41*'Panel Datasheet'!$B$7)</f>
        <v>209.72957887558934</v>
      </c>
      <c r="I41" s="34">
        <f>'Panel Datasheet'!$B$6*20*$B$7*1000/(2*$E41*'Panel Datasheet'!$B$7)</f>
        <v>279.63943850078579</v>
      </c>
      <c r="J41" s="34">
        <f>'DC Cable Database'!L22</f>
        <v>100</v>
      </c>
      <c r="K41" s="23" t="str">
        <f>'DC Cable Database'!O22</f>
        <v>Bangkok_Cable_H1Z2Z2-K_PV_Cable_Datasheet.pdf; attached table</v>
      </c>
    </row>
    <row r="42" spans="1:11" ht="38.25">
      <c r="A42" s="23" t="str">
        <f>'DC Cable Database'!A23</f>
        <v>Bangkok Cable H1Z2Z2-K 16 mm²</v>
      </c>
      <c r="B42" s="23" t="str">
        <f>'DC Cable Database'!B23</f>
        <v>Bangkok Cable</v>
      </c>
      <c r="C42" s="34">
        <f>'DC Cable Database'!D23</f>
        <v>16</v>
      </c>
      <c r="D42" s="38">
        <f>'DC Cable Database'!E23</f>
        <v>1.24</v>
      </c>
      <c r="E42" s="38">
        <f>'DC Cable Database'!M23</f>
        <v>1.5811240000000002</v>
      </c>
      <c r="F42" s="34">
        <f>'DC Cable Database'!I23</f>
        <v>107</v>
      </c>
      <c r="G42" s="34">
        <f>'Panel Datasheet'!$B$6*10*$B$7*1000/(2*$E42*'Panel Datasheet'!$B$7)</f>
        <v>219.87778430505332</v>
      </c>
      <c r="H42" s="34">
        <f>'Panel Datasheet'!$B$6*15*$B$7*1000/(2*$E42*'Panel Datasheet'!$B$7)</f>
        <v>329.81667645758</v>
      </c>
      <c r="I42" s="34">
        <f>'Panel Datasheet'!$B$6*20*$B$7*1000/(2*$E42*'Panel Datasheet'!$B$7)</f>
        <v>439.75556861010665</v>
      </c>
      <c r="J42" s="34">
        <f>'DC Cable Database'!L23</f>
        <v>100</v>
      </c>
      <c r="K42" s="23" t="str">
        <f>'DC Cable Database'!O23</f>
        <v>Bangkok_Cable_H1Z2Z2-K_PV_Cable_Datasheet.pdf; attached table</v>
      </c>
    </row>
    <row r="43" spans="1:11" ht="38.25">
      <c r="A43" s="23" t="str">
        <f>'DC Cable Database'!A24</f>
        <v>Bangkok Cable H1Z2Z2-K 25 mm²</v>
      </c>
      <c r="B43" s="23" t="str">
        <f>'DC Cable Database'!B24</f>
        <v>Bangkok Cable</v>
      </c>
      <c r="C43" s="34">
        <f>'DC Cable Database'!D24</f>
        <v>25</v>
      </c>
      <c r="D43" s="38">
        <f>'DC Cable Database'!E24</f>
        <v>0.79500000000000004</v>
      </c>
      <c r="E43" s="38">
        <f>'DC Cable Database'!M24</f>
        <v>1.0137045000000002</v>
      </c>
      <c r="F43" s="34">
        <f>'DC Cable Database'!I24</f>
        <v>142</v>
      </c>
      <c r="G43" s="34">
        <f>'Panel Datasheet'!$B$6*10*$B$7*1000/(2*$E43*'Panel Datasheet'!$B$7)</f>
        <v>342.95402835002022</v>
      </c>
      <c r="H43" s="34">
        <f>'Panel Datasheet'!$B$6*15*$B$7*1000/(2*$E43*'Panel Datasheet'!$B$7)</f>
        <v>514.43104252503042</v>
      </c>
      <c r="I43" s="34">
        <f>'Panel Datasheet'!$B$6*20*$B$7*1000/(2*$E43*'Panel Datasheet'!$B$7)</f>
        <v>685.90805670004045</v>
      </c>
      <c r="J43" s="34">
        <f>'DC Cable Database'!L24</f>
        <v>100</v>
      </c>
      <c r="K43" s="23" t="str">
        <f>'DC Cable Database'!O24</f>
        <v>Bangkok_Cable_H1Z2Z2-K_PV_Cable_Datasheet.pdf; attached table</v>
      </c>
    </row>
    <row r="44" spans="1:11" ht="38.25">
      <c r="A44" s="23" t="str">
        <f>'DC Cable Database'!A25</f>
        <v>Bangkok Cable H1Z2Z2-K 35 mm²</v>
      </c>
      <c r="B44" s="23" t="str">
        <f>'DC Cable Database'!B25</f>
        <v>Bangkok Cable</v>
      </c>
      <c r="C44" s="34">
        <f>'DC Cable Database'!D25</f>
        <v>35</v>
      </c>
      <c r="D44" s="38">
        <f>'DC Cable Database'!E25</f>
        <v>0.56499999999999995</v>
      </c>
      <c r="E44" s="38">
        <f>'DC Cable Database'!M25</f>
        <v>0.7204315</v>
      </c>
      <c r="F44" s="34">
        <f>'DC Cable Database'!I25</f>
        <v>176</v>
      </c>
      <c r="G44" s="34">
        <f>'Panel Datasheet'!$B$6*10*$B$7*1000/(2*$E44*'Panel Datasheet'!$B$7)</f>
        <v>482.56363281109054</v>
      </c>
      <c r="H44" s="34">
        <f>'Panel Datasheet'!$B$6*15*$B$7*1000/(2*$E44*'Panel Datasheet'!$B$7)</f>
        <v>723.84544921663587</v>
      </c>
      <c r="I44" s="34">
        <f>'Panel Datasheet'!$B$6*20*$B$7*1000/(2*$E44*'Panel Datasheet'!$B$7)</f>
        <v>965.12726562218108</v>
      </c>
      <c r="J44" s="34">
        <f>'DC Cable Database'!L25</f>
        <v>100</v>
      </c>
      <c r="K44" s="23" t="str">
        <f>'DC Cable Database'!O25</f>
        <v>Bangkok_Cable_H1Z2Z2-K_PV_Cable_Datasheet.pdf; attached table</v>
      </c>
    </row>
    <row r="45" spans="1:11" ht="38.25">
      <c r="A45" s="23" t="str">
        <f>'DC Cable Database'!A26</f>
        <v>Bangkok Cable H1Z2Z2-K 50 mm²</v>
      </c>
      <c r="B45" s="23" t="str">
        <f>'DC Cable Database'!B26</f>
        <v>Bangkok Cable</v>
      </c>
      <c r="C45" s="34">
        <f>'DC Cable Database'!D26</f>
        <v>50</v>
      </c>
      <c r="D45" s="38">
        <f>'DC Cable Database'!E26</f>
        <v>0.39300000000000002</v>
      </c>
      <c r="E45" s="38">
        <f>'DC Cable Database'!M26</f>
        <v>0.50111430000000012</v>
      </c>
      <c r="F45" s="34">
        <f>'DC Cable Database'!I26</f>
        <v>221</v>
      </c>
      <c r="G45" s="34">
        <f>'Panel Datasheet'!$B$6*10*$B$7*1000/(2*$E45*'Panel Datasheet'!$B$7)</f>
        <v>693.76196574622406</v>
      </c>
      <c r="H45" s="34">
        <f>'Panel Datasheet'!$B$6*15*$B$7*1000/(2*$E45*'Panel Datasheet'!$B$7)</f>
        <v>1040.6429486193363</v>
      </c>
      <c r="I45" s="34">
        <f>'Panel Datasheet'!$B$6*20*$B$7*1000/(2*$E45*'Panel Datasheet'!$B$7)</f>
        <v>1387.5239314924481</v>
      </c>
      <c r="J45" s="34">
        <f>'DC Cable Database'!L26</f>
        <v>100</v>
      </c>
      <c r="K45" s="23" t="str">
        <f>'DC Cable Database'!O26</f>
        <v>Bangkok_Cable_H1Z2Z2-K_PV_Cable_Datasheet.pdf; attached table</v>
      </c>
    </row>
    <row r="46" spans="1:11" ht="38.25">
      <c r="A46" s="23" t="str">
        <f>'DC Cable Database'!A27</f>
        <v>Bangkok Cable H1Z2Z2-K 70 mm²</v>
      </c>
      <c r="B46" s="23" t="str">
        <f>'DC Cable Database'!B27</f>
        <v>Bangkok Cable</v>
      </c>
      <c r="C46" s="34">
        <f>'DC Cable Database'!D27</f>
        <v>70</v>
      </c>
      <c r="D46" s="38">
        <f>'DC Cable Database'!E27</f>
        <v>0.27700000000000002</v>
      </c>
      <c r="E46" s="38">
        <f>'DC Cable Database'!M27</f>
        <v>0.35320270000000009</v>
      </c>
      <c r="F46" s="34">
        <f>'DC Cable Database'!I27</f>
        <v>278</v>
      </c>
      <c r="G46" s="34">
        <f>'Panel Datasheet'!$B$6*10*$B$7*1000/(2*$E46*'Panel Datasheet'!$B$7)</f>
        <v>984.29044237641176</v>
      </c>
      <c r="H46" s="34">
        <f>'Panel Datasheet'!$B$6*15*$B$7*1000/(2*$E46*'Panel Datasheet'!$B$7)</f>
        <v>1476.4356635646179</v>
      </c>
      <c r="I46" s="34">
        <f>'Panel Datasheet'!$B$6*20*$B$7*1000/(2*$E46*'Panel Datasheet'!$B$7)</f>
        <v>1968.5808847528235</v>
      </c>
      <c r="J46" s="34">
        <f>'DC Cable Database'!L27</f>
        <v>500</v>
      </c>
      <c r="K46" s="23" t="str">
        <f>'DC Cable Database'!O27</f>
        <v>Bangkok_Cable_H1Z2Z2-K_PV_Cable_Datasheet.pdf; attached table</v>
      </c>
    </row>
    <row r="47" spans="1:11" ht="38.25">
      <c r="A47" s="23" t="str">
        <f>'DC Cable Database'!A28</f>
        <v>Bangkok Cable H1Z2Z2-K 95 mm²</v>
      </c>
      <c r="B47" s="23" t="str">
        <f>'DC Cable Database'!B28</f>
        <v>Bangkok Cable</v>
      </c>
      <c r="C47" s="34">
        <f>'DC Cable Database'!D28</f>
        <v>95</v>
      </c>
      <c r="D47" s="38">
        <f>'DC Cable Database'!E28</f>
        <v>0.21</v>
      </c>
      <c r="E47" s="38">
        <f>'DC Cable Database'!M28</f>
        <v>0.26777100000000004</v>
      </c>
      <c r="F47" s="34">
        <f>'DC Cable Database'!I28</f>
        <v>333</v>
      </c>
      <c r="G47" s="34">
        <f>'Panel Datasheet'!$B$6*10*$B$7*1000/(2*$E47*'Panel Datasheet'!$B$7)</f>
        <v>1298.3259644679338</v>
      </c>
      <c r="H47" s="34">
        <f>'Panel Datasheet'!$B$6*15*$B$7*1000/(2*$E47*'Panel Datasheet'!$B$7)</f>
        <v>1947.4889467019009</v>
      </c>
      <c r="I47" s="34">
        <f>'Panel Datasheet'!$B$6*20*$B$7*1000/(2*$E47*'Panel Datasheet'!$B$7)</f>
        <v>2596.6519289358675</v>
      </c>
      <c r="J47" s="34">
        <f>'DC Cable Database'!L28</f>
        <v>500</v>
      </c>
      <c r="K47" s="23" t="str">
        <f>'DC Cable Database'!O28</f>
        <v>Bangkok_Cable_H1Z2Z2-K_PV_Cable_Datasheet.pdf; attached table</v>
      </c>
    </row>
    <row r="48" spans="1:11" ht="38.25">
      <c r="A48" s="23" t="str">
        <f>'DC Cable Database'!A29</f>
        <v>Bangkok Cable H1Z2Z2-K 120 mm²</v>
      </c>
      <c r="B48" s="23" t="str">
        <f>'DC Cable Database'!B29</f>
        <v>Bangkok Cable</v>
      </c>
      <c r="C48" s="34">
        <f>'DC Cable Database'!D29</f>
        <v>120</v>
      </c>
      <c r="D48" s="38">
        <f>'DC Cable Database'!E29</f>
        <v>0.16400000000000001</v>
      </c>
      <c r="E48" s="38">
        <f>'DC Cable Database'!M29</f>
        <v>0.20911640000000004</v>
      </c>
      <c r="F48" s="34">
        <f>'DC Cable Database'!I29</f>
        <v>390</v>
      </c>
      <c r="G48" s="34">
        <f>'Panel Datasheet'!$B$6*10*$B$7*1000/(2*$E48*'Panel Datasheet'!$B$7)</f>
        <v>1662.4905642577201</v>
      </c>
      <c r="H48" s="34">
        <f>'Panel Datasheet'!$B$6*15*$B$7*1000/(2*$E48*'Panel Datasheet'!$B$7)</f>
        <v>2493.7358463865808</v>
      </c>
      <c r="I48" s="34">
        <f>'Panel Datasheet'!$B$6*20*$B$7*1000/(2*$E48*'Panel Datasheet'!$B$7)</f>
        <v>3324.9811285154401</v>
      </c>
      <c r="J48" s="34">
        <f>'DC Cable Database'!L29</f>
        <v>500</v>
      </c>
      <c r="K48" s="23" t="str">
        <f>'DC Cable Database'!O29</f>
        <v>Bangkok_Cable_H1Z2Z2-K_PV_Cable_Datasheet.pdf; attached table</v>
      </c>
    </row>
    <row r="49" spans="1:11" ht="38.25">
      <c r="A49" s="23" t="str">
        <f>'DC Cable Database'!A30</f>
        <v>Bangkok Cable H1Z2Z2-K 150 mm²</v>
      </c>
      <c r="B49" s="23" t="str">
        <f>'DC Cable Database'!B30</f>
        <v>Bangkok Cable</v>
      </c>
      <c r="C49" s="34">
        <f>'DC Cable Database'!D30</f>
        <v>150</v>
      </c>
      <c r="D49" s="38">
        <f>'DC Cable Database'!E30</f>
        <v>0.13200000000000001</v>
      </c>
      <c r="E49" s="38">
        <f>'DC Cable Database'!M30</f>
        <v>0.16831320000000002</v>
      </c>
      <c r="F49" s="34">
        <f>'DC Cable Database'!I30</f>
        <v>453</v>
      </c>
      <c r="G49" s="34">
        <f>'Panel Datasheet'!$B$6*10*$B$7*1000/(2*$E49*'Panel Datasheet'!$B$7)</f>
        <v>2065.5185798353496</v>
      </c>
      <c r="H49" s="34">
        <f>'Panel Datasheet'!$B$6*15*$B$7*1000/(2*$E49*'Panel Datasheet'!$B$7)</f>
        <v>3098.2778697530248</v>
      </c>
      <c r="I49" s="34">
        <f>'Panel Datasheet'!$B$6*20*$B$7*1000/(2*$E49*'Panel Datasheet'!$B$7)</f>
        <v>4131.0371596706991</v>
      </c>
      <c r="J49" s="34">
        <f>'DC Cable Database'!L30</f>
        <v>500</v>
      </c>
      <c r="K49" s="23" t="str">
        <f>'DC Cable Database'!O30</f>
        <v>Bangkok_Cable_H1Z2Z2-K_PV_Cable_Datasheet.pdf; attached table</v>
      </c>
    </row>
    <row r="50" spans="1:11" ht="38.25">
      <c r="A50" s="23" t="str">
        <f>'DC Cable Database'!A31</f>
        <v>Bangkok Cable H1Z2Z2-K 185 mm²</v>
      </c>
      <c r="B50" s="23" t="str">
        <f>'DC Cable Database'!B31</f>
        <v>Bangkok Cable</v>
      </c>
      <c r="C50" s="34">
        <f>'DC Cable Database'!D31</f>
        <v>185</v>
      </c>
      <c r="D50" s="38">
        <f>'DC Cable Database'!E31</f>
        <v>0.108</v>
      </c>
      <c r="E50" s="38">
        <f>'DC Cable Database'!M31</f>
        <v>0.13771080000000002</v>
      </c>
      <c r="F50" s="34">
        <f>'DC Cable Database'!I31</f>
        <v>515</v>
      </c>
      <c r="G50" s="34">
        <f>'Panel Datasheet'!$B$6*10*$B$7*1000/(2*$E50*'Panel Datasheet'!$B$7)</f>
        <v>2524.5227086876489</v>
      </c>
      <c r="H50" s="34">
        <f>'Panel Datasheet'!$B$6*15*$B$7*1000/(2*$E50*'Panel Datasheet'!$B$7)</f>
        <v>3786.784063031474</v>
      </c>
      <c r="I50" s="34">
        <f>'Panel Datasheet'!$B$6*20*$B$7*1000/(2*$E50*'Panel Datasheet'!$B$7)</f>
        <v>5049.0454173752978</v>
      </c>
      <c r="J50" s="34">
        <f>'DC Cable Database'!L31</f>
        <v>500</v>
      </c>
      <c r="K50" s="23" t="str">
        <f>'DC Cable Database'!O31</f>
        <v>Bangkok_Cable_H1Z2Z2-K_PV_Cable_Datasheet.pdf; attached table</v>
      </c>
    </row>
    <row r="51" spans="1:11" ht="38.25">
      <c r="A51" s="23" t="str">
        <f>'DC Cable Database'!A32</f>
        <v>Bangkok Cable H1Z2Z2-K 240 mm²</v>
      </c>
      <c r="B51" s="23" t="str">
        <f>'DC Cable Database'!B32</f>
        <v>Bangkok Cable</v>
      </c>
      <c r="C51" s="34">
        <f>'DC Cable Database'!D32</f>
        <v>240</v>
      </c>
      <c r="D51" s="38">
        <f>'DC Cable Database'!E32</f>
        <v>8.1699999999999995E-2</v>
      </c>
      <c r="E51" s="38">
        <f>'DC Cable Database'!M32</f>
        <v>0.10417567</v>
      </c>
      <c r="F51" s="34">
        <f>'DC Cable Database'!I32</f>
        <v>620</v>
      </c>
      <c r="G51" s="34">
        <f>'Panel Datasheet'!$B$6*10*$B$7*1000/(2*$E51*'Panel Datasheet'!$B$7)</f>
        <v>3337.1903615454853</v>
      </c>
      <c r="H51" s="34">
        <f>'Panel Datasheet'!$B$6*15*$B$7*1000/(2*$E51*'Panel Datasheet'!$B$7)</f>
        <v>5005.7855423182291</v>
      </c>
      <c r="I51" s="34">
        <f>'Panel Datasheet'!$B$6*20*$B$7*1000/(2*$E51*'Panel Datasheet'!$B$7)</f>
        <v>6674.3807230909706</v>
      </c>
      <c r="J51" s="34">
        <f>'DC Cable Database'!L32</f>
        <v>500</v>
      </c>
      <c r="K51" s="23" t="str">
        <f>'DC Cable Database'!O32</f>
        <v>Bangkok_Cable_H1Z2Z2-K_PV_Cable_Datasheet.pdf; attached table</v>
      </c>
    </row>
  </sheetData>
  <mergeCells count="3">
    <mergeCell ref="A1:K1"/>
    <mergeCell ref="A10:K10"/>
    <mergeCell ref="A21:K2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-0.249977111117893"/>
  </sheetPr>
  <dimension ref="A1:M59"/>
  <sheetViews>
    <sheetView showGridLines="0" topLeftCell="A26" workbookViewId="0">
      <selection activeCell="F35" sqref="F35"/>
    </sheetView>
  </sheetViews>
  <sheetFormatPr defaultRowHeight="14.25"/>
  <cols>
    <col min="1" max="1" width="14" customWidth="1"/>
    <col min="2" max="3" width="15" customWidth="1"/>
    <col min="4" max="4" width="17" customWidth="1"/>
    <col min="5" max="5" width="15" customWidth="1"/>
    <col min="6" max="6" width="34" customWidth="1"/>
    <col min="7" max="7" width="17" customWidth="1"/>
    <col min="8" max="8" width="14" customWidth="1"/>
    <col min="9" max="9" width="13" customWidth="1"/>
    <col min="10" max="10" width="16" customWidth="1"/>
    <col min="11" max="11" width="14" customWidth="1"/>
    <col min="12" max="12" width="17" customWidth="1"/>
    <col min="13" max="13" width="12" customWidth="1"/>
  </cols>
  <sheetData>
    <row r="1" spans="1:12" ht="24" customHeight="1">
      <c r="A1" s="160" t="s">
        <v>323</v>
      </c>
      <c r="B1" s="160" t="s">
        <v>323</v>
      </c>
      <c r="C1" s="160" t="s">
        <v>323</v>
      </c>
      <c r="D1" s="160" t="s">
        <v>323</v>
      </c>
      <c r="E1" s="160" t="s">
        <v>323</v>
      </c>
      <c r="F1" s="160" t="s">
        <v>323</v>
      </c>
      <c r="G1" s="160" t="s">
        <v>323</v>
      </c>
      <c r="H1" s="160" t="s">
        <v>323</v>
      </c>
      <c r="I1" s="160" t="s">
        <v>323</v>
      </c>
      <c r="J1" s="160" t="s">
        <v>323</v>
      </c>
      <c r="K1" s="160" t="s">
        <v>323</v>
      </c>
      <c r="L1" s="160" t="s">
        <v>323</v>
      </c>
    </row>
    <row r="2" spans="1:1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161" t="s">
        <v>324</v>
      </c>
      <c r="B3" s="161" t="s">
        <v>324</v>
      </c>
      <c r="C3" s="161" t="s">
        <v>324</v>
      </c>
      <c r="D3" s="161" t="s">
        <v>324</v>
      </c>
      <c r="E3" s="161" t="s">
        <v>324</v>
      </c>
      <c r="F3" s="161" t="s">
        <v>324</v>
      </c>
      <c r="G3" s="161" t="s">
        <v>324</v>
      </c>
      <c r="H3" s="161" t="s">
        <v>324</v>
      </c>
      <c r="I3" s="161" t="s">
        <v>324</v>
      </c>
      <c r="J3" s="161" t="s">
        <v>324</v>
      </c>
      <c r="K3" s="161" t="s">
        <v>324</v>
      </c>
      <c r="L3" s="161" t="s">
        <v>324</v>
      </c>
    </row>
    <row r="4" spans="1:1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25.5">
      <c r="A5" s="39" t="s">
        <v>325</v>
      </c>
      <c r="B5" s="39" t="s">
        <v>274</v>
      </c>
      <c r="C5" s="39" t="s">
        <v>326</v>
      </c>
      <c r="D5" s="39" t="s">
        <v>158</v>
      </c>
      <c r="E5" s="39" t="s">
        <v>327</v>
      </c>
      <c r="F5" s="39" t="s">
        <v>328</v>
      </c>
      <c r="G5" s="39" t="s">
        <v>329</v>
      </c>
      <c r="H5" s="39" t="s">
        <v>330</v>
      </c>
      <c r="I5" s="39" t="s">
        <v>331</v>
      </c>
      <c r="J5" s="39" t="s">
        <v>292</v>
      </c>
      <c r="K5" s="39" t="s">
        <v>332</v>
      </c>
      <c r="L5" s="39" t="s">
        <v>142</v>
      </c>
    </row>
    <row r="6" spans="1:12" ht="25.5">
      <c r="A6" s="76">
        <v>10</v>
      </c>
      <c r="B6" s="77">
        <f>A6*'Panel Datasheet'!$B$6</f>
        <v>410</v>
      </c>
      <c r="C6" s="80">
        <f>B6*'Panel Datasheet'!$B$7</f>
        <v>7252.9000000000005</v>
      </c>
      <c r="D6" s="78" t="s">
        <v>172</v>
      </c>
      <c r="E6" s="77">
        <v>4</v>
      </c>
      <c r="F6" s="77">
        <f>B6*'DC Calculator'!$B$9*1000/(2*VLOOKUP($L6,'DC Cable Database'!$A$4:$O$32,13,FALSE)*'DC Calculator'!$E$11)</f>
        <v>53.565511304178024</v>
      </c>
      <c r="G6" s="77">
        <f>'DC Calculator'!$E$11*2*'DC Calculator'!$B$8*VLOOKUP($L6,'DC Cable Database'!$A$4:$O$32,13,FALSE)/1000</f>
        <v>22.962536342000003</v>
      </c>
      <c r="H6" s="79">
        <f t="shared" ref="H6:H23" si="0">G6/B6</f>
        <v>5.6006186200000009E-2</v>
      </c>
      <c r="I6" s="77">
        <f>'DC Calculator'!$E$11^2*2*'DC Calculator'!$B$8*VLOOKUP($L6,'DC Cable Database'!$A$4:$O$32,13,FALSE)/1000</f>
        <v>406.20726788998013</v>
      </c>
      <c r="J6" s="78" t="str">
        <f>IF(VLOOKUP($L6,'DC Cable Database'!$A$4:$O$32,9,FALSE)&gt;='DC Calculator'!$E$11,"PASS","CHECK")</f>
        <v>PASS</v>
      </c>
      <c r="K6" s="78" t="s">
        <v>333</v>
      </c>
      <c r="L6" s="78" t="s">
        <v>175</v>
      </c>
    </row>
    <row r="7" spans="1:12" ht="25.5">
      <c r="A7" s="76">
        <v>10</v>
      </c>
      <c r="B7" s="77">
        <f>A7*'Panel Datasheet'!$B$6</f>
        <v>410</v>
      </c>
      <c r="C7" s="80">
        <f>B7*'Panel Datasheet'!$B$7</f>
        <v>7252.9000000000005</v>
      </c>
      <c r="D7" s="78" t="s">
        <v>172</v>
      </c>
      <c r="E7" s="77">
        <v>6</v>
      </c>
      <c r="F7" s="77">
        <f>B7*'DC Calculator'!$B$9*1000/(2*VLOOKUP($L7,'DC Cable Database'!$A$4:$O$32,13,FALSE)*'DC Calculator'!$E$11)</f>
        <v>80.427272135181752</v>
      </c>
      <c r="G7" s="77">
        <f>'DC Calculator'!$E$11*2*'DC Calculator'!$B$8*VLOOKUP($L7,'DC Cable Database'!$A$4:$O$32,13,FALSE)/1000</f>
        <v>15.293319882000006</v>
      </c>
      <c r="H7" s="79">
        <f t="shared" si="0"/>
        <v>3.7300780200000015E-2</v>
      </c>
      <c r="I7" s="77">
        <f>'DC Calculator'!$E$11^2*2*'DC Calculator'!$B$8*VLOOKUP($L7,'DC Cable Database'!$A$4:$O$32,13,FALSE)/1000</f>
        <v>270.53882871258008</v>
      </c>
      <c r="J7" s="78" t="str">
        <f>IF(VLOOKUP($L7,'DC Cable Database'!$A$4:$O$32,9,FALSE)&gt;='DC Calculator'!$E$11,"PASS","CHECK")</f>
        <v>PASS</v>
      </c>
      <c r="K7" s="78" t="s">
        <v>333</v>
      </c>
      <c r="L7" s="78" t="s">
        <v>176</v>
      </c>
    </row>
    <row r="8" spans="1:12" ht="25.5">
      <c r="A8" s="76">
        <v>10</v>
      </c>
      <c r="B8" s="77">
        <f>A8*'Panel Datasheet'!$B$6</f>
        <v>410</v>
      </c>
      <c r="C8" s="80">
        <f>B8*'Panel Datasheet'!$B$7</f>
        <v>7252.9000000000005</v>
      </c>
      <c r="D8" s="78" t="s">
        <v>172</v>
      </c>
      <c r="E8" s="77">
        <v>10</v>
      </c>
      <c r="F8" s="77">
        <f>B8*'DC Calculator'!$B$9*1000/(2*VLOOKUP($L8,'DC Cable Database'!$A$4:$O$32,13,FALSE)*'DC Calculator'!$E$11)</f>
        <v>139.81971925039289</v>
      </c>
      <c r="G8" s="77">
        <f>'DC Calculator'!$E$11*2*'DC Calculator'!$B$8*VLOOKUP($L8,'DC Cable Database'!$A$4:$O$32,13,FALSE)/1000</f>
        <v>8.7970424100000013</v>
      </c>
      <c r="H8" s="79">
        <f t="shared" si="0"/>
        <v>2.1456201000000005E-2</v>
      </c>
      <c r="I8" s="77">
        <f>'DC Calculator'!$E$11^2*2*'DC Calculator'!$B$8*VLOOKUP($L8,'DC Cable Database'!$A$4:$O$32,13,FALSE)/1000</f>
        <v>155.61968023290004</v>
      </c>
      <c r="J8" s="78" t="str">
        <f>IF(VLOOKUP($L8,'DC Cable Database'!$A$4:$O$32,9,FALSE)&gt;='DC Calculator'!$E$11,"PASS","CHECK")</f>
        <v>PASS</v>
      </c>
      <c r="K8" s="78" t="s">
        <v>334</v>
      </c>
      <c r="L8" s="78" t="s">
        <v>177</v>
      </c>
    </row>
    <row r="9" spans="1:12" ht="25.5">
      <c r="A9" s="76">
        <v>10</v>
      </c>
      <c r="B9" s="77">
        <f>A9*'Panel Datasheet'!$B$6</f>
        <v>410</v>
      </c>
      <c r="C9" s="80">
        <f>B9*'Panel Datasheet'!$B$7</f>
        <v>7252.9000000000005</v>
      </c>
      <c r="D9" s="78" t="s">
        <v>189</v>
      </c>
      <c r="E9" s="77">
        <v>4</v>
      </c>
      <c r="F9" s="77">
        <f>B9*'DC Calculator'!$B$9*1000/(2*VLOOKUP($L9,'DC Cable Database'!$A$4:$O$32,13,FALSE)*'DC Calculator'!$E$11)</f>
        <v>53.565511304178024</v>
      </c>
      <c r="G9" s="77">
        <f>'DC Calculator'!$E$11*2*'DC Calculator'!$B$8*VLOOKUP($L9,'DC Cable Database'!$A$4:$O$32,13,FALSE)/1000</f>
        <v>22.962536342000003</v>
      </c>
      <c r="H9" s="79">
        <f t="shared" si="0"/>
        <v>5.6006186200000009E-2</v>
      </c>
      <c r="I9" s="77">
        <f>'DC Calculator'!$E$11^2*2*'DC Calculator'!$B$8*VLOOKUP($L9,'DC Cable Database'!$A$4:$O$32,13,FALSE)/1000</f>
        <v>406.20726788998013</v>
      </c>
      <c r="J9" s="78" t="str">
        <f>IF(VLOOKUP($L9,'DC Cable Database'!$A$4:$O$32,9,FALSE)&gt;='DC Calculator'!$E$11,"PASS","CHECK")</f>
        <v>PASS</v>
      </c>
      <c r="K9" s="78" t="s">
        <v>333</v>
      </c>
      <c r="L9" s="78" t="s">
        <v>192</v>
      </c>
    </row>
    <row r="10" spans="1:12" ht="25.5">
      <c r="A10" s="76">
        <v>10</v>
      </c>
      <c r="B10" s="77">
        <f>A10*'Panel Datasheet'!$B$6</f>
        <v>410</v>
      </c>
      <c r="C10" s="80">
        <f>B10*'Panel Datasheet'!$B$7</f>
        <v>7252.9000000000005</v>
      </c>
      <c r="D10" s="78" t="s">
        <v>189</v>
      </c>
      <c r="E10" s="77">
        <v>6</v>
      </c>
      <c r="F10" s="77">
        <f>B10*'DC Calculator'!$B$9*1000/(2*VLOOKUP($L10,'DC Cable Database'!$A$4:$O$32,13,FALSE)*'DC Calculator'!$E$11)</f>
        <v>80.427272135181752</v>
      </c>
      <c r="G10" s="77">
        <f>'DC Calculator'!$E$11*2*'DC Calculator'!$B$8*VLOOKUP($L10,'DC Cable Database'!$A$4:$O$32,13,FALSE)/1000</f>
        <v>15.293319882000006</v>
      </c>
      <c r="H10" s="79">
        <f t="shared" si="0"/>
        <v>3.7300780200000015E-2</v>
      </c>
      <c r="I10" s="77">
        <f>'DC Calculator'!$E$11^2*2*'DC Calculator'!$B$8*VLOOKUP($L10,'DC Cable Database'!$A$4:$O$32,13,FALSE)/1000</f>
        <v>270.53882871258008</v>
      </c>
      <c r="J10" s="78" t="str">
        <f>IF(VLOOKUP($L10,'DC Cable Database'!$A$4:$O$32,9,FALSE)&gt;='DC Calculator'!$E$11,"PASS","CHECK")</f>
        <v>PASS</v>
      </c>
      <c r="K10" s="78" t="s">
        <v>333</v>
      </c>
      <c r="L10" s="78" t="s">
        <v>193</v>
      </c>
    </row>
    <row r="11" spans="1:12" ht="25.5">
      <c r="A11" s="76">
        <v>10</v>
      </c>
      <c r="B11" s="77">
        <f>A11*'Panel Datasheet'!$B$6</f>
        <v>410</v>
      </c>
      <c r="C11" s="80">
        <f>B11*'Panel Datasheet'!$B$7</f>
        <v>7252.9000000000005</v>
      </c>
      <c r="D11" s="78" t="s">
        <v>189</v>
      </c>
      <c r="E11" s="77">
        <v>10</v>
      </c>
      <c r="F11" s="77">
        <f>B11*'DC Calculator'!$B$9*1000/(2*VLOOKUP($L11,'DC Cable Database'!$A$4:$O$32,13,FALSE)*'DC Calculator'!$E$11)</f>
        <v>139.81971925039289</v>
      </c>
      <c r="G11" s="77">
        <f>'DC Calculator'!$E$11*2*'DC Calculator'!$B$8*VLOOKUP($L11,'DC Cable Database'!$A$4:$O$32,13,FALSE)/1000</f>
        <v>8.7970424100000013</v>
      </c>
      <c r="H11" s="79">
        <f t="shared" si="0"/>
        <v>2.1456201000000005E-2</v>
      </c>
      <c r="I11" s="77">
        <f>'DC Calculator'!$E$11^2*2*'DC Calculator'!$B$8*VLOOKUP($L11,'DC Cable Database'!$A$4:$O$32,13,FALSE)/1000</f>
        <v>155.61968023290004</v>
      </c>
      <c r="J11" s="78" t="str">
        <f>IF(VLOOKUP($L11,'DC Cable Database'!$A$4:$O$32,9,FALSE)&gt;='DC Calculator'!$E$11,"PASS","CHECK")</f>
        <v>PASS</v>
      </c>
      <c r="K11" s="78" t="s">
        <v>334</v>
      </c>
      <c r="L11" s="78" t="s">
        <v>194</v>
      </c>
    </row>
    <row r="12" spans="1:12" ht="25.5">
      <c r="A12" s="76">
        <v>15</v>
      </c>
      <c r="B12" s="77">
        <f>A12*'Panel Datasheet'!$B$6</f>
        <v>615</v>
      </c>
      <c r="C12" s="80">
        <f>B12*'Panel Datasheet'!$B$7</f>
        <v>10879.35</v>
      </c>
      <c r="D12" s="78" t="s">
        <v>172</v>
      </c>
      <c r="E12" s="77">
        <v>4</v>
      </c>
      <c r="F12" s="77">
        <f>B12*'DC Calculator'!$B$9*1000/(2*VLOOKUP($L12,'DC Cable Database'!$A$4:$O$32,13,FALSE)*'DC Calculator'!$E$11)</f>
        <v>80.348266956267054</v>
      </c>
      <c r="G12" s="77">
        <f>'DC Calculator'!$E$11*2*'DC Calculator'!$B$8*VLOOKUP($L12,'DC Cable Database'!$A$4:$O$32,13,FALSE)/1000</f>
        <v>22.962536342000003</v>
      </c>
      <c r="H12" s="79">
        <f t="shared" si="0"/>
        <v>3.7337457466666675E-2</v>
      </c>
      <c r="I12" s="77">
        <f>'DC Calculator'!$E$11^2*2*'DC Calculator'!$B$8*VLOOKUP($L12,'DC Cable Database'!$A$4:$O$32,13,FALSE)/1000</f>
        <v>406.20726788998013</v>
      </c>
      <c r="J12" s="78" t="str">
        <f>IF(VLOOKUP($L12,'DC Cable Database'!$A$4:$O$32,9,FALSE)&gt;='DC Calculator'!$E$11,"PASS","CHECK")</f>
        <v>PASS</v>
      </c>
      <c r="K12" s="78" t="s">
        <v>333</v>
      </c>
      <c r="L12" s="78" t="s">
        <v>175</v>
      </c>
    </row>
    <row r="13" spans="1:12" ht="25.5">
      <c r="A13" s="76">
        <v>15</v>
      </c>
      <c r="B13" s="77">
        <f>A13*'Panel Datasheet'!$B$6</f>
        <v>615</v>
      </c>
      <c r="C13" s="80">
        <f>B13*'Panel Datasheet'!$B$7</f>
        <v>10879.35</v>
      </c>
      <c r="D13" s="78" t="s">
        <v>172</v>
      </c>
      <c r="E13" s="77">
        <v>6</v>
      </c>
      <c r="F13" s="77">
        <f>B13*'DC Calculator'!$B$9*1000/(2*VLOOKUP($L13,'DC Cable Database'!$A$4:$O$32,13,FALSE)*'DC Calculator'!$E$11)</f>
        <v>120.64090820277264</v>
      </c>
      <c r="G13" s="77">
        <f>'DC Calculator'!$E$11*2*'DC Calculator'!$B$8*VLOOKUP($L13,'DC Cable Database'!$A$4:$O$32,13,FALSE)/1000</f>
        <v>15.293319882000006</v>
      </c>
      <c r="H13" s="79">
        <f t="shared" si="0"/>
        <v>2.486718680000001E-2</v>
      </c>
      <c r="I13" s="77">
        <f>'DC Calculator'!$E$11^2*2*'DC Calculator'!$B$8*VLOOKUP($L13,'DC Cable Database'!$A$4:$O$32,13,FALSE)/1000</f>
        <v>270.53882871258008</v>
      </c>
      <c r="J13" s="78" t="str">
        <f>IF(VLOOKUP($L13,'DC Cable Database'!$A$4:$O$32,9,FALSE)&gt;='DC Calculator'!$E$11,"PASS","CHECK")</f>
        <v>PASS</v>
      </c>
      <c r="K13" s="78" t="s">
        <v>334</v>
      </c>
      <c r="L13" s="78" t="s">
        <v>176</v>
      </c>
    </row>
    <row r="14" spans="1:12" ht="25.5">
      <c r="A14" s="76">
        <v>15</v>
      </c>
      <c r="B14" s="77">
        <f>A14*'Panel Datasheet'!$B$6</f>
        <v>615</v>
      </c>
      <c r="C14" s="80">
        <f>B14*'Panel Datasheet'!$B$7</f>
        <v>10879.35</v>
      </c>
      <c r="D14" s="78" t="s">
        <v>172</v>
      </c>
      <c r="E14" s="77">
        <v>10</v>
      </c>
      <c r="F14" s="77">
        <f>B14*'DC Calculator'!$B$9*1000/(2*VLOOKUP($L14,'DC Cable Database'!$A$4:$O$32,13,FALSE)*'DC Calculator'!$E$11)</f>
        <v>209.72957887558934</v>
      </c>
      <c r="G14" s="77">
        <f>'DC Calculator'!$E$11*2*'DC Calculator'!$B$8*VLOOKUP($L14,'DC Cable Database'!$A$4:$O$32,13,FALSE)/1000</f>
        <v>8.7970424100000013</v>
      </c>
      <c r="H14" s="79">
        <f t="shared" si="0"/>
        <v>1.4304134000000001E-2</v>
      </c>
      <c r="I14" s="77">
        <f>'DC Calculator'!$E$11^2*2*'DC Calculator'!$B$8*VLOOKUP($L14,'DC Cable Database'!$A$4:$O$32,13,FALSE)/1000</f>
        <v>155.61968023290004</v>
      </c>
      <c r="J14" s="78" t="str">
        <f>IF(VLOOKUP($L14,'DC Cable Database'!$A$4:$O$32,9,FALSE)&gt;='DC Calculator'!$E$11,"PASS","CHECK")</f>
        <v>PASS</v>
      </c>
      <c r="K14" s="78" t="s">
        <v>334</v>
      </c>
      <c r="L14" s="78" t="s">
        <v>177</v>
      </c>
    </row>
    <row r="15" spans="1:12" ht="25.5">
      <c r="A15" s="76">
        <v>15</v>
      </c>
      <c r="B15" s="77">
        <f>A15*'Panel Datasheet'!$B$6</f>
        <v>615</v>
      </c>
      <c r="C15" s="80">
        <f>B15*'Panel Datasheet'!$B$7</f>
        <v>10879.35</v>
      </c>
      <c r="D15" s="78" t="s">
        <v>189</v>
      </c>
      <c r="E15" s="77">
        <v>4</v>
      </c>
      <c r="F15" s="77">
        <f>B15*'DC Calculator'!$B$9*1000/(2*VLOOKUP($L15,'DC Cable Database'!$A$4:$O$32,13,FALSE)*'DC Calculator'!$E$11)</f>
        <v>80.348266956267054</v>
      </c>
      <c r="G15" s="77">
        <f>'DC Calculator'!$E$11*2*'DC Calculator'!$B$8*VLOOKUP($L15,'DC Cable Database'!$A$4:$O$32,13,FALSE)/1000</f>
        <v>22.962536342000003</v>
      </c>
      <c r="H15" s="79">
        <f t="shared" si="0"/>
        <v>3.7337457466666675E-2</v>
      </c>
      <c r="I15" s="77">
        <f>'DC Calculator'!$E$11^2*2*'DC Calculator'!$B$8*VLOOKUP($L15,'DC Cable Database'!$A$4:$O$32,13,FALSE)/1000</f>
        <v>406.20726788998013</v>
      </c>
      <c r="J15" s="78" t="str">
        <f>IF(VLOOKUP($L15,'DC Cable Database'!$A$4:$O$32,9,FALSE)&gt;='DC Calculator'!$E$11,"PASS","CHECK")</f>
        <v>PASS</v>
      </c>
      <c r="K15" s="78" t="s">
        <v>333</v>
      </c>
      <c r="L15" s="78" t="s">
        <v>192</v>
      </c>
    </row>
    <row r="16" spans="1:12" ht="25.5">
      <c r="A16" s="76">
        <v>15</v>
      </c>
      <c r="B16" s="77">
        <f>A16*'Panel Datasheet'!$B$6</f>
        <v>615</v>
      </c>
      <c r="C16" s="80">
        <f>B16*'Panel Datasheet'!$B$7</f>
        <v>10879.35</v>
      </c>
      <c r="D16" s="78" t="s">
        <v>189</v>
      </c>
      <c r="E16" s="77">
        <v>6</v>
      </c>
      <c r="F16" s="77">
        <f>B16*'DC Calculator'!$B$9*1000/(2*VLOOKUP($L16,'DC Cable Database'!$A$4:$O$32,13,FALSE)*'DC Calculator'!$E$11)</f>
        <v>120.64090820277264</v>
      </c>
      <c r="G16" s="77">
        <f>'DC Calculator'!$E$11*2*'DC Calculator'!$B$8*VLOOKUP($L16,'DC Cable Database'!$A$4:$O$32,13,FALSE)/1000</f>
        <v>15.293319882000006</v>
      </c>
      <c r="H16" s="79">
        <f t="shared" si="0"/>
        <v>2.486718680000001E-2</v>
      </c>
      <c r="I16" s="77">
        <f>'DC Calculator'!$E$11^2*2*'DC Calculator'!$B$8*VLOOKUP($L16,'DC Cable Database'!$A$4:$O$32,13,FALSE)/1000</f>
        <v>270.53882871258008</v>
      </c>
      <c r="J16" s="78" t="str">
        <f>IF(VLOOKUP($L16,'DC Cable Database'!$A$4:$O$32,9,FALSE)&gt;='DC Calculator'!$E$11,"PASS","CHECK")</f>
        <v>PASS</v>
      </c>
      <c r="K16" s="78" t="s">
        <v>334</v>
      </c>
      <c r="L16" s="78" t="s">
        <v>193</v>
      </c>
    </row>
    <row r="17" spans="1:12" ht="25.5">
      <c r="A17" s="76">
        <v>15</v>
      </c>
      <c r="B17" s="77">
        <f>A17*'Panel Datasheet'!$B$6</f>
        <v>615</v>
      </c>
      <c r="C17" s="80">
        <f>B17*'Panel Datasheet'!$B$7</f>
        <v>10879.35</v>
      </c>
      <c r="D17" s="78" t="s">
        <v>189</v>
      </c>
      <c r="E17" s="77">
        <v>10</v>
      </c>
      <c r="F17" s="77">
        <f>B17*'DC Calculator'!$B$9*1000/(2*VLOOKUP($L17,'DC Cable Database'!$A$4:$O$32,13,FALSE)*'DC Calculator'!$E$11)</f>
        <v>209.72957887558934</v>
      </c>
      <c r="G17" s="77">
        <f>'DC Calculator'!$E$11*2*'DC Calculator'!$B$8*VLOOKUP($L17,'DC Cable Database'!$A$4:$O$32,13,FALSE)/1000</f>
        <v>8.7970424100000013</v>
      </c>
      <c r="H17" s="79">
        <f t="shared" si="0"/>
        <v>1.4304134000000001E-2</v>
      </c>
      <c r="I17" s="77">
        <f>'DC Calculator'!$E$11^2*2*'DC Calculator'!$B$8*VLOOKUP($L17,'DC Cable Database'!$A$4:$O$32,13,FALSE)/1000</f>
        <v>155.61968023290004</v>
      </c>
      <c r="J17" s="78" t="str">
        <f>IF(VLOOKUP($L17,'DC Cable Database'!$A$4:$O$32,9,FALSE)&gt;='DC Calculator'!$E$11,"PASS","CHECK")</f>
        <v>PASS</v>
      </c>
      <c r="K17" s="78" t="s">
        <v>334</v>
      </c>
      <c r="L17" s="78" t="s">
        <v>194</v>
      </c>
    </row>
    <row r="18" spans="1:12" ht="25.5">
      <c r="A18" s="76">
        <v>20</v>
      </c>
      <c r="B18" s="77">
        <f>A18*'Panel Datasheet'!$B$6</f>
        <v>820</v>
      </c>
      <c r="C18" s="80">
        <f>B18*'Panel Datasheet'!$B$7</f>
        <v>14505.800000000001</v>
      </c>
      <c r="D18" s="78" t="s">
        <v>172</v>
      </c>
      <c r="E18" s="77">
        <v>4</v>
      </c>
      <c r="F18" s="77">
        <f>B18*'DC Calculator'!$B$9*1000/(2*VLOOKUP($L18,'DC Cable Database'!$A$4:$O$32,13,FALSE)*'DC Calculator'!$E$11)</f>
        <v>107.13102260835605</v>
      </c>
      <c r="G18" s="77">
        <f>'DC Calculator'!$E$11*2*'DC Calculator'!$B$8*VLOOKUP($L18,'DC Cable Database'!$A$4:$O$32,13,FALSE)/1000</f>
        <v>22.962536342000003</v>
      </c>
      <c r="H18" s="79">
        <f t="shared" si="0"/>
        <v>2.8003093100000005E-2</v>
      </c>
      <c r="I18" s="77">
        <f>'DC Calculator'!$E$11^2*2*'DC Calculator'!$B$8*VLOOKUP($L18,'DC Cable Database'!$A$4:$O$32,13,FALSE)/1000</f>
        <v>406.20726788998013</v>
      </c>
      <c r="J18" s="78" t="str">
        <f>IF(VLOOKUP($L18,'DC Cable Database'!$A$4:$O$32,9,FALSE)&gt;='DC Calculator'!$E$11,"PASS","CHECK")</f>
        <v>PASS</v>
      </c>
      <c r="K18" s="78" t="s">
        <v>334</v>
      </c>
      <c r="L18" s="78" t="s">
        <v>175</v>
      </c>
    </row>
    <row r="19" spans="1:12" ht="25.5">
      <c r="A19" s="76">
        <v>20</v>
      </c>
      <c r="B19" s="77">
        <f>A19*'Panel Datasheet'!$B$6</f>
        <v>820</v>
      </c>
      <c r="C19" s="80">
        <f>B19*'Panel Datasheet'!$B$7</f>
        <v>14505.800000000001</v>
      </c>
      <c r="D19" s="78" t="s">
        <v>172</v>
      </c>
      <c r="E19" s="77">
        <v>6</v>
      </c>
      <c r="F19" s="77">
        <f>B19*'DC Calculator'!$B$9*1000/(2*VLOOKUP($L19,'DC Cable Database'!$A$4:$O$32,13,FALSE)*'DC Calculator'!$E$11)</f>
        <v>160.8545442703635</v>
      </c>
      <c r="G19" s="77">
        <f>'DC Calculator'!$E$11*2*'DC Calculator'!$B$8*VLOOKUP($L19,'DC Cable Database'!$A$4:$O$32,13,FALSE)/1000</f>
        <v>15.293319882000006</v>
      </c>
      <c r="H19" s="79">
        <f t="shared" si="0"/>
        <v>1.8650390100000008E-2</v>
      </c>
      <c r="I19" s="77">
        <f>'DC Calculator'!$E$11^2*2*'DC Calculator'!$B$8*VLOOKUP($L19,'DC Cable Database'!$A$4:$O$32,13,FALSE)/1000</f>
        <v>270.53882871258008</v>
      </c>
      <c r="J19" s="78" t="str">
        <f>IF(VLOOKUP($L19,'DC Cable Database'!$A$4:$O$32,9,FALSE)&gt;='DC Calculator'!$E$11,"PASS","CHECK")</f>
        <v>PASS</v>
      </c>
      <c r="K19" s="78" t="s">
        <v>334</v>
      </c>
      <c r="L19" s="78" t="s">
        <v>176</v>
      </c>
    </row>
    <row r="20" spans="1:12" ht="25.5">
      <c r="A20" s="76">
        <v>20</v>
      </c>
      <c r="B20" s="77">
        <f>A20*'Panel Datasheet'!$B$6</f>
        <v>820</v>
      </c>
      <c r="C20" s="80">
        <f>B20*'Panel Datasheet'!$B$7</f>
        <v>14505.800000000001</v>
      </c>
      <c r="D20" s="78" t="s">
        <v>172</v>
      </c>
      <c r="E20" s="77">
        <v>10</v>
      </c>
      <c r="F20" s="77">
        <f>B20*'DC Calculator'!$B$9*1000/(2*VLOOKUP($L20,'DC Cable Database'!$A$4:$O$32,13,FALSE)*'DC Calculator'!$E$11)</f>
        <v>279.63943850078579</v>
      </c>
      <c r="G20" s="77">
        <f>'DC Calculator'!$E$11*2*'DC Calculator'!$B$8*VLOOKUP($L20,'DC Cable Database'!$A$4:$O$32,13,FALSE)/1000</f>
        <v>8.7970424100000013</v>
      </c>
      <c r="H20" s="79">
        <f t="shared" si="0"/>
        <v>1.0728100500000002E-2</v>
      </c>
      <c r="I20" s="77">
        <f>'DC Calculator'!$E$11^2*2*'DC Calculator'!$B$8*VLOOKUP($L20,'DC Cable Database'!$A$4:$O$32,13,FALSE)/1000</f>
        <v>155.61968023290004</v>
      </c>
      <c r="J20" s="78" t="str">
        <f>IF(VLOOKUP($L20,'DC Cable Database'!$A$4:$O$32,9,FALSE)&gt;='DC Calculator'!$E$11,"PASS","CHECK")</f>
        <v>PASS</v>
      </c>
      <c r="K20" s="78" t="s">
        <v>334</v>
      </c>
      <c r="L20" s="78" t="s">
        <v>177</v>
      </c>
    </row>
    <row r="21" spans="1:12" ht="25.5">
      <c r="A21" s="76">
        <v>20</v>
      </c>
      <c r="B21" s="77">
        <f>A21*'Panel Datasheet'!$B$6</f>
        <v>820</v>
      </c>
      <c r="C21" s="80">
        <f>B21*'Panel Datasheet'!$B$7</f>
        <v>14505.800000000001</v>
      </c>
      <c r="D21" s="78" t="s">
        <v>189</v>
      </c>
      <c r="E21" s="77">
        <v>4</v>
      </c>
      <c r="F21" s="77">
        <f>B21*'DC Calculator'!$B$9*1000/(2*VLOOKUP($L21,'DC Cable Database'!$A$4:$O$32,13,FALSE)*'DC Calculator'!$E$11)</f>
        <v>107.13102260835605</v>
      </c>
      <c r="G21" s="77">
        <f>'DC Calculator'!$E$11*2*'DC Calculator'!$B$8*VLOOKUP($L21,'DC Cable Database'!$A$4:$O$32,13,FALSE)/1000</f>
        <v>22.962536342000003</v>
      </c>
      <c r="H21" s="79">
        <f t="shared" si="0"/>
        <v>2.8003093100000005E-2</v>
      </c>
      <c r="I21" s="77">
        <f>'DC Calculator'!$E$11^2*2*'DC Calculator'!$B$8*VLOOKUP($L21,'DC Cable Database'!$A$4:$O$32,13,FALSE)/1000</f>
        <v>406.20726788998013</v>
      </c>
      <c r="J21" s="78" t="str">
        <f>IF(VLOOKUP($L21,'DC Cable Database'!$A$4:$O$32,9,FALSE)&gt;='DC Calculator'!$E$11,"PASS","CHECK")</f>
        <v>PASS</v>
      </c>
      <c r="K21" s="78" t="s">
        <v>334</v>
      </c>
      <c r="L21" s="78" t="s">
        <v>192</v>
      </c>
    </row>
    <row r="22" spans="1:12" ht="25.5">
      <c r="A22" s="76">
        <v>20</v>
      </c>
      <c r="B22" s="77">
        <f>A22*'Panel Datasheet'!$B$6</f>
        <v>820</v>
      </c>
      <c r="C22" s="80">
        <f>B22*'Panel Datasheet'!$B$7</f>
        <v>14505.800000000001</v>
      </c>
      <c r="D22" s="78" t="s">
        <v>189</v>
      </c>
      <c r="E22" s="77">
        <v>6</v>
      </c>
      <c r="F22" s="77">
        <f>B22*'DC Calculator'!$B$9*1000/(2*VLOOKUP($L22,'DC Cable Database'!$A$4:$O$32,13,FALSE)*'DC Calculator'!$E$11)</f>
        <v>160.8545442703635</v>
      </c>
      <c r="G22" s="77">
        <f>'DC Calculator'!$E$11*2*'DC Calculator'!$B$8*VLOOKUP($L22,'DC Cable Database'!$A$4:$O$32,13,FALSE)/1000</f>
        <v>15.293319882000006</v>
      </c>
      <c r="H22" s="79">
        <f t="shared" si="0"/>
        <v>1.8650390100000008E-2</v>
      </c>
      <c r="I22" s="77">
        <f>'DC Calculator'!$E$11^2*2*'DC Calculator'!$B$8*VLOOKUP($L22,'DC Cable Database'!$A$4:$O$32,13,FALSE)/1000</f>
        <v>270.53882871258008</v>
      </c>
      <c r="J22" s="78" t="str">
        <f>IF(VLOOKUP($L22,'DC Cable Database'!$A$4:$O$32,9,FALSE)&gt;='DC Calculator'!$E$11,"PASS","CHECK")</f>
        <v>PASS</v>
      </c>
      <c r="K22" s="78" t="s">
        <v>334</v>
      </c>
      <c r="L22" s="78" t="s">
        <v>193</v>
      </c>
    </row>
    <row r="23" spans="1:12" ht="25.5">
      <c r="A23" s="76">
        <v>20</v>
      </c>
      <c r="B23" s="77">
        <f>A23*'Panel Datasheet'!$B$6</f>
        <v>820</v>
      </c>
      <c r="C23" s="80">
        <f>B23*'Panel Datasheet'!$B$7</f>
        <v>14505.800000000001</v>
      </c>
      <c r="D23" s="78" t="s">
        <v>189</v>
      </c>
      <c r="E23" s="77">
        <v>10</v>
      </c>
      <c r="F23" s="77">
        <f>B23*'DC Calculator'!$B$9*1000/(2*VLOOKUP($L23,'DC Cable Database'!$A$4:$O$32,13,FALSE)*'DC Calculator'!$E$11)</f>
        <v>279.63943850078579</v>
      </c>
      <c r="G23" s="77">
        <f>'DC Calculator'!$E$11*2*'DC Calculator'!$B$8*VLOOKUP($L23,'DC Cable Database'!$A$4:$O$32,13,FALSE)/1000</f>
        <v>8.7970424100000013</v>
      </c>
      <c r="H23" s="79">
        <f t="shared" si="0"/>
        <v>1.0728100500000002E-2</v>
      </c>
      <c r="I23" s="77">
        <f>'DC Calculator'!$E$11^2*2*'DC Calculator'!$B$8*VLOOKUP($L23,'DC Cable Database'!$A$4:$O$32,13,FALSE)/1000</f>
        <v>155.61968023290004</v>
      </c>
      <c r="J23" s="78" t="str">
        <f>IF(VLOOKUP($L23,'DC Cable Database'!$A$4:$O$32,9,FALSE)&gt;='DC Calculator'!$E$11,"PASS","CHECK")</f>
        <v>PASS</v>
      </c>
      <c r="K23" s="78" t="s">
        <v>334</v>
      </c>
      <c r="L23" s="78" t="s">
        <v>194</v>
      </c>
    </row>
    <row r="24" spans="1:1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>
      <c r="A26" s="140" t="s">
        <v>335</v>
      </c>
      <c r="B26" s="140" t="s">
        <v>335</v>
      </c>
      <c r="C26" s="140" t="s">
        <v>335</v>
      </c>
      <c r="D26" s="140" t="s">
        <v>335</v>
      </c>
      <c r="E26" s="140" t="s">
        <v>335</v>
      </c>
      <c r="F26" s="140" t="s">
        <v>335</v>
      </c>
      <c r="G26" s="140" t="s">
        <v>335</v>
      </c>
      <c r="H26" s="140" t="s">
        <v>335</v>
      </c>
      <c r="I26" s="140" t="s">
        <v>335</v>
      </c>
      <c r="J26" s="140" t="s">
        <v>335</v>
      </c>
      <c r="K26" s="140" t="s">
        <v>335</v>
      </c>
      <c r="L26" s="140" t="s">
        <v>335</v>
      </c>
    </row>
    <row r="28" spans="1:12" ht="20.100000000000001" customHeight="1">
      <c r="A28" s="162" t="s">
        <v>336</v>
      </c>
      <c r="B28" s="162" t="s">
        <v>336</v>
      </c>
      <c r="C28" s="162" t="s">
        <v>336</v>
      </c>
      <c r="D28" s="162" t="s">
        <v>336</v>
      </c>
    </row>
    <row r="29" spans="1:12" ht="20.100000000000001" customHeight="1">
      <c r="A29" s="100" t="s">
        <v>337</v>
      </c>
      <c r="B29" s="100" t="s">
        <v>338</v>
      </c>
    </row>
    <row r="30" spans="1:12" ht="30" customHeight="1">
      <c r="A30" s="106" t="s">
        <v>339</v>
      </c>
      <c r="B30" s="107" t="str">
        <f>'DC Calculator'!$B$6</f>
        <v>Bangkok Cable H1Z2Z2-K 6 mm²</v>
      </c>
      <c r="C30" s="159" t="s">
        <v>340</v>
      </c>
      <c r="D30" s="159" t="s">
        <v>340</v>
      </c>
    </row>
    <row r="31" spans="1:12" ht="26.1" customHeight="1">
      <c r="A31" s="106" t="s">
        <v>219</v>
      </c>
      <c r="B31" s="103">
        <v>100</v>
      </c>
      <c r="C31" s="159" t="s">
        <v>340</v>
      </c>
      <c r="D31" s="159" t="s">
        <v>340</v>
      </c>
    </row>
    <row r="32" spans="1:12" ht="26.1" customHeight="1">
      <c r="A32" s="106" t="s">
        <v>221</v>
      </c>
      <c r="B32" s="104">
        <v>0.03</v>
      </c>
      <c r="C32" s="159" t="s">
        <v>340</v>
      </c>
      <c r="D32" s="159" t="s">
        <v>340</v>
      </c>
    </row>
    <row r="33" spans="1:13" ht="26.1" customHeight="1">
      <c r="A33" s="106" t="s">
        <v>341</v>
      </c>
      <c r="B33" s="105">
        <v>17.690000000000001</v>
      </c>
      <c r="C33" s="159" t="s">
        <v>340</v>
      </c>
      <c r="D33" s="159" t="s">
        <v>340</v>
      </c>
    </row>
    <row r="34" spans="1:13" ht="26.1" customHeight="1">
      <c r="A34" s="106" t="s">
        <v>342</v>
      </c>
      <c r="B34" s="102">
        <v>90</v>
      </c>
      <c r="C34" s="159" t="s">
        <v>340</v>
      </c>
      <c r="D34" s="159" t="s">
        <v>340</v>
      </c>
    </row>
    <row r="35" spans="1:13" ht="26.1" customHeight="1">
      <c r="A35" s="106" t="s">
        <v>343</v>
      </c>
      <c r="B35" s="102">
        <v>10</v>
      </c>
      <c r="C35" s="159" t="s">
        <v>340</v>
      </c>
      <c r="D35" s="159" t="s">
        <v>340</v>
      </c>
    </row>
    <row r="36" spans="1:13" ht="26.1" customHeight="1">
      <c r="A36" s="106" t="s">
        <v>344</v>
      </c>
      <c r="B36" s="101">
        <f>'DC Calculator'!$B$12</f>
        <v>1100</v>
      </c>
      <c r="C36" s="159" t="s">
        <v>340</v>
      </c>
      <c r="D36" s="159" t="s">
        <v>340</v>
      </c>
    </row>
    <row r="37" spans="1:13" ht="20.100000000000001" customHeight="1"/>
    <row r="38" spans="1:13" ht="20.100000000000001" customHeight="1"/>
    <row r="39" spans="1:13" ht="20.100000000000001" customHeight="1">
      <c r="A39" s="155" t="s">
        <v>345</v>
      </c>
      <c r="B39" s="155" t="s">
        <v>345</v>
      </c>
      <c r="C39" s="155" t="s">
        <v>345</v>
      </c>
      <c r="D39" s="155" t="s">
        <v>345</v>
      </c>
      <c r="E39" s="155" t="s">
        <v>345</v>
      </c>
      <c r="F39" s="155" t="s">
        <v>345</v>
      </c>
      <c r="G39" s="155" t="s">
        <v>345</v>
      </c>
      <c r="H39" s="155" t="s">
        <v>345</v>
      </c>
      <c r="I39" s="155" t="s">
        <v>345</v>
      </c>
      <c r="J39" s="155" t="s">
        <v>345</v>
      </c>
      <c r="K39" s="155" t="s">
        <v>345</v>
      </c>
      <c r="L39" s="155" t="s">
        <v>345</v>
      </c>
      <c r="M39" s="155" t="s">
        <v>345</v>
      </c>
    </row>
    <row r="40" spans="1:13" ht="42" customHeight="1">
      <c r="A40" s="81" t="s">
        <v>325</v>
      </c>
      <c r="B40" s="81" t="s">
        <v>274</v>
      </c>
      <c r="C40" s="81" t="s">
        <v>276</v>
      </c>
      <c r="D40" s="81" t="s">
        <v>158</v>
      </c>
      <c r="E40" s="81" t="s">
        <v>327</v>
      </c>
      <c r="F40" s="81" t="s">
        <v>142</v>
      </c>
      <c r="G40" s="81" t="s">
        <v>346</v>
      </c>
      <c r="H40" s="81" t="s">
        <v>164</v>
      </c>
      <c r="I40" s="81" t="s">
        <v>347</v>
      </c>
      <c r="J40" s="81" t="s">
        <v>348</v>
      </c>
      <c r="K40" s="81" t="s">
        <v>349</v>
      </c>
      <c r="L40" s="81" t="s">
        <v>350</v>
      </c>
      <c r="M40" s="81" t="s">
        <v>351</v>
      </c>
    </row>
    <row r="41" spans="1:13" ht="20.100000000000001" customHeight="1">
      <c r="A41" s="116">
        <v>10</v>
      </c>
      <c r="B41" s="91">
        <f>A41*'Panel Datasheet'!$B$6</f>
        <v>410</v>
      </c>
      <c r="C41" s="91">
        <f t="shared" ref="C41:C58" si="1">$B$33</f>
        <v>17.690000000000001</v>
      </c>
      <c r="D41" s="87" t="s">
        <v>172</v>
      </c>
      <c r="E41" s="92">
        <v>4</v>
      </c>
      <c r="F41" s="87" t="s">
        <v>175</v>
      </c>
      <c r="G41" s="99">
        <f>B41*$B$32*1000/(2*(VLOOKUP($F41,'DC Cable Database'!$A$4:$O$32,5,FALSE)*(1+'Assumptions &amp; Sources'!$B$20*($B$34-'Assumptions &amp; Sources'!$B$8)))*C41)</f>
        <v>53.565511304178024</v>
      </c>
      <c r="H41" s="89">
        <f>VLOOKUP($F41,'DC Cable Database'!$A$4:$O$32,9,FALSE)</f>
        <v>44</v>
      </c>
      <c r="I41" s="93">
        <f t="shared" ref="I41:I58" si="2">$B$32</f>
        <v>0.03</v>
      </c>
      <c r="J41" s="89">
        <f t="shared" ref="J41:J58" si="3">$B$34</f>
        <v>90</v>
      </c>
      <c r="K41" s="89">
        <f t="shared" ref="K41:K58" si="4">$B$31</f>
        <v>100</v>
      </c>
      <c r="L41" s="89">
        <f t="shared" ref="L41:L58" si="5">G41-K41</f>
        <v>-46.434488695821976</v>
      </c>
      <c r="M41" s="88" t="str">
        <f t="shared" ref="M41:M58" si="6">IF(AND(G41&gt;=K41,H41&gt;=C41),"OK","CHECK")</f>
        <v>CHECK</v>
      </c>
    </row>
    <row r="42" spans="1:13" ht="20.100000000000001" customHeight="1">
      <c r="A42" s="116">
        <v>10</v>
      </c>
      <c r="B42" s="91">
        <f>A42*'Panel Datasheet'!$B$6</f>
        <v>410</v>
      </c>
      <c r="C42" s="91">
        <f t="shared" si="1"/>
        <v>17.690000000000001</v>
      </c>
      <c r="D42" s="87" t="s">
        <v>172</v>
      </c>
      <c r="E42" s="92">
        <v>6</v>
      </c>
      <c r="F42" s="87" t="s">
        <v>176</v>
      </c>
      <c r="G42" s="99">
        <f>B42*$B$32*1000/(2*(VLOOKUP($F42,'DC Cable Database'!$A$4:$O$32,5,FALSE)*(1+'Assumptions &amp; Sources'!$B$20*($B$34-'Assumptions &amp; Sources'!$B$8)))*C42)</f>
        <v>80.427272135181752</v>
      </c>
      <c r="H42" s="89">
        <f>VLOOKUP($F42,'DC Cable Database'!$A$4:$O$32,9,FALSE)</f>
        <v>57</v>
      </c>
      <c r="I42" s="93">
        <f t="shared" si="2"/>
        <v>0.03</v>
      </c>
      <c r="J42" s="89">
        <f t="shared" si="3"/>
        <v>90</v>
      </c>
      <c r="K42" s="89">
        <f t="shared" si="4"/>
        <v>100</v>
      </c>
      <c r="L42" s="89">
        <f t="shared" si="5"/>
        <v>-19.572727864818248</v>
      </c>
      <c r="M42" s="88" t="str">
        <f t="shared" si="6"/>
        <v>CHECK</v>
      </c>
    </row>
    <row r="43" spans="1:13" ht="20.100000000000001" customHeight="1">
      <c r="A43" s="116">
        <v>10</v>
      </c>
      <c r="B43" s="91">
        <f>A43*'Panel Datasheet'!$B$6</f>
        <v>410</v>
      </c>
      <c r="C43" s="91">
        <f t="shared" si="1"/>
        <v>17.690000000000001</v>
      </c>
      <c r="D43" s="87" t="s">
        <v>172</v>
      </c>
      <c r="E43" s="92">
        <v>10</v>
      </c>
      <c r="F43" s="87" t="s">
        <v>177</v>
      </c>
      <c r="G43" s="99">
        <f>B43*$B$32*1000/(2*(VLOOKUP($F43,'DC Cable Database'!$A$4:$O$32,5,FALSE)*(1+'Assumptions &amp; Sources'!$B$20*($B$34-'Assumptions &amp; Sources'!$B$8)))*C43)</f>
        <v>139.81971925039289</v>
      </c>
      <c r="H43" s="89">
        <f>VLOOKUP($F43,'DC Cable Database'!$A$4:$O$32,9,FALSE)</f>
        <v>79</v>
      </c>
      <c r="I43" s="93">
        <f t="shared" si="2"/>
        <v>0.03</v>
      </c>
      <c r="J43" s="89">
        <f t="shared" si="3"/>
        <v>90</v>
      </c>
      <c r="K43" s="89">
        <f t="shared" si="4"/>
        <v>100</v>
      </c>
      <c r="L43" s="89">
        <f t="shared" si="5"/>
        <v>39.819719250392893</v>
      </c>
      <c r="M43" s="88" t="str">
        <f t="shared" si="6"/>
        <v>OK</v>
      </c>
    </row>
    <row r="44" spans="1:13" ht="20.100000000000001" customHeight="1">
      <c r="A44" s="116">
        <v>10</v>
      </c>
      <c r="B44" s="91">
        <f>A44*'Panel Datasheet'!$B$6</f>
        <v>410</v>
      </c>
      <c r="C44" s="91">
        <f t="shared" si="1"/>
        <v>17.690000000000001</v>
      </c>
      <c r="D44" s="87" t="s">
        <v>189</v>
      </c>
      <c r="E44" s="92">
        <v>4</v>
      </c>
      <c r="F44" s="87" t="s">
        <v>192</v>
      </c>
      <c r="G44" s="99">
        <f>B44*$B$32*1000/(2*(VLOOKUP($F44,'DC Cable Database'!$A$4:$O$32,5,FALSE)*(1+'Assumptions &amp; Sources'!$B$20*($B$34-'Assumptions &amp; Sources'!$B$8)))*C44)</f>
        <v>53.565511304178024</v>
      </c>
      <c r="H44" s="89">
        <f>VLOOKUP($F44,'DC Cable Database'!$A$4:$O$32,9,FALSE)</f>
        <v>44</v>
      </c>
      <c r="I44" s="93">
        <f t="shared" si="2"/>
        <v>0.03</v>
      </c>
      <c r="J44" s="89">
        <f t="shared" si="3"/>
        <v>90</v>
      </c>
      <c r="K44" s="89">
        <f t="shared" si="4"/>
        <v>100</v>
      </c>
      <c r="L44" s="89">
        <f t="shared" si="5"/>
        <v>-46.434488695821976</v>
      </c>
      <c r="M44" s="88" t="str">
        <f t="shared" si="6"/>
        <v>CHECK</v>
      </c>
    </row>
    <row r="45" spans="1:13" ht="20.100000000000001" customHeight="1">
      <c r="A45" s="116">
        <v>10</v>
      </c>
      <c r="B45" s="91">
        <f>A45*'Panel Datasheet'!$B$6</f>
        <v>410</v>
      </c>
      <c r="C45" s="91">
        <f t="shared" si="1"/>
        <v>17.690000000000001</v>
      </c>
      <c r="D45" s="87" t="s">
        <v>189</v>
      </c>
      <c r="E45" s="92">
        <v>6</v>
      </c>
      <c r="F45" s="87" t="s">
        <v>193</v>
      </c>
      <c r="G45" s="99">
        <f>B45*$B$32*1000/(2*(VLOOKUP($F45,'DC Cable Database'!$A$4:$O$32,5,FALSE)*(1+'Assumptions &amp; Sources'!$B$20*($B$34-'Assumptions &amp; Sources'!$B$8)))*C45)</f>
        <v>80.427272135181752</v>
      </c>
      <c r="H45" s="89">
        <f>VLOOKUP($F45,'DC Cable Database'!$A$4:$O$32,9,FALSE)</f>
        <v>57</v>
      </c>
      <c r="I45" s="93">
        <f t="shared" si="2"/>
        <v>0.03</v>
      </c>
      <c r="J45" s="89">
        <f t="shared" si="3"/>
        <v>90</v>
      </c>
      <c r="K45" s="89">
        <f t="shared" si="4"/>
        <v>100</v>
      </c>
      <c r="L45" s="89">
        <f t="shared" si="5"/>
        <v>-19.572727864818248</v>
      </c>
      <c r="M45" s="88" t="str">
        <f t="shared" si="6"/>
        <v>CHECK</v>
      </c>
    </row>
    <row r="46" spans="1:13" ht="20.100000000000001" customHeight="1">
      <c r="A46" s="116">
        <v>10</v>
      </c>
      <c r="B46" s="91">
        <f>A46*'Panel Datasheet'!$B$6</f>
        <v>410</v>
      </c>
      <c r="C46" s="91">
        <f t="shared" si="1"/>
        <v>17.690000000000001</v>
      </c>
      <c r="D46" s="87" t="s">
        <v>189</v>
      </c>
      <c r="E46" s="92">
        <v>10</v>
      </c>
      <c r="F46" s="87" t="s">
        <v>194</v>
      </c>
      <c r="G46" s="99">
        <f>B46*$B$32*1000/(2*(VLOOKUP($F46,'DC Cable Database'!$A$4:$O$32,5,FALSE)*(1+'Assumptions &amp; Sources'!$B$20*($B$34-'Assumptions &amp; Sources'!$B$8)))*C46)</f>
        <v>139.81971925039289</v>
      </c>
      <c r="H46" s="89">
        <f>VLOOKUP($F46,'DC Cable Database'!$A$4:$O$32,9,FALSE)</f>
        <v>79</v>
      </c>
      <c r="I46" s="93">
        <f t="shared" si="2"/>
        <v>0.03</v>
      </c>
      <c r="J46" s="89">
        <f t="shared" si="3"/>
        <v>90</v>
      </c>
      <c r="K46" s="89">
        <f t="shared" si="4"/>
        <v>100</v>
      </c>
      <c r="L46" s="89">
        <f t="shared" si="5"/>
        <v>39.819719250392893</v>
      </c>
      <c r="M46" s="88" t="str">
        <f t="shared" si="6"/>
        <v>OK</v>
      </c>
    </row>
    <row r="47" spans="1:13" ht="20.100000000000001" customHeight="1">
      <c r="A47" s="116">
        <v>15</v>
      </c>
      <c r="B47" s="91">
        <f>A47*'Panel Datasheet'!$B$6</f>
        <v>615</v>
      </c>
      <c r="C47" s="91">
        <f t="shared" si="1"/>
        <v>17.690000000000001</v>
      </c>
      <c r="D47" s="87" t="s">
        <v>172</v>
      </c>
      <c r="E47" s="92">
        <v>4</v>
      </c>
      <c r="F47" s="87" t="s">
        <v>175</v>
      </c>
      <c r="G47" s="99">
        <f>B47*$B$32*1000/(2*(VLOOKUP($F47,'DC Cable Database'!$A$4:$O$32,5,FALSE)*(1+'Assumptions &amp; Sources'!$B$20*($B$34-'Assumptions &amp; Sources'!$B$8)))*C47)</f>
        <v>80.348266956267054</v>
      </c>
      <c r="H47" s="89">
        <f>VLOOKUP($F47,'DC Cable Database'!$A$4:$O$32,9,FALSE)</f>
        <v>44</v>
      </c>
      <c r="I47" s="93">
        <f t="shared" si="2"/>
        <v>0.03</v>
      </c>
      <c r="J47" s="89">
        <f t="shared" si="3"/>
        <v>90</v>
      </c>
      <c r="K47" s="89">
        <f t="shared" si="4"/>
        <v>100</v>
      </c>
      <c r="L47" s="89">
        <f t="shared" si="5"/>
        <v>-19.651733043732946</v>
      </c>
      <c r="M47" s="88" t="str">
        <f t="shared" si="6"/>
        <v>CHECK</v>
      </c>
    </row>
    <row r="48" spans="1:13" ht="20.100000000000001" customHeight="1">
      <c r="A48" s="116">
        <v>15</v>
      </c>
      <c r="B48" s="91">
        <f>A48*'Panel Datasheet'!$B$6</f>
        <v>615</v>
      </c>
      <c r="C48" s="91">
        <f t="shared" si="1"/>
        <v>17.690000000000001</v>
      </c>
      <c r="D48" s="87" t="s">
        <v>172</v>
      </c>
      <c r="E48" s="92">
        <v>6</v>
      </c>
      <c r="F48" s="87" t="s">
        <v>176</v>
      </c>
      <c r="G48" s="99">
        <f>B48*$B$32*1000/(2*(VLOOKUP($F48,'DC Cable Database'!$A$4:$O$32,5,FALSE)*(1+'Assumptions &amp; Sources'!$B$20*($B$34-'Assumptions &amp; Sources'!$B$8)))*C48)</f>
        <v>120.64090820277264</v>
      </c>
      <c r="H48" s="89">
        <f>VLOOKUP($F48,'DC Cable Database'!$A$4:$O$32,9,FALSE)</f>
        <v>57</v>
      </c>
      <c r="I48" s="93">
        <f t="shared" si="2"/>
        <v>0.03</v>
      </c>
      <c r="J48" s="89">
        <f t="shared" si="3"/>
        <v>90</v>
      </c>
      <c r="K48" s="89">
        <f t="shared" si="4"/>
        <v>100</v>
      </c>
      <c r="L48" s="89">
        <f t="shared" si="5"/>
        <v>20.640908202772636</v>
      </c>
      <c r="M48" s="88" t="str">
        <f t="shared" si="6"/>
        <v>OK</v>
      </c>
    </row>
    <row r="49" spans="1:13" ht="20.100000000000001" customHeight="1">
      <c r="A49" s="116">
        <v>15</v>
      </c>
      <c r="B49" s="91">
        <f>A49*'Panel Datasheet'!$B$6</f>
        <v>615</v>
      </c>
      <c r="C49" s="91">
        <f t="shared" si="1"/>
        <v>17.690000000000001</v>
      </c>
      <c r="D49" s="87" t="s">
        <v>172</v>
      </c>
      <c r="E49" s="92">
        <v>10</v>
      </c>
      <c r="F49" s="87" t="s">
        <v>177</v>
      </c>
      <c r="G49" s="99">
        <f>B49*$B$32*1000/(2*(VLOOKUP($F49,'DC Cable Database'!$A$4:$O$32,5,FALSE)*(1+'Assumptions &amp; Sources'!$B$20*($B$34-'Assumptions &amp; Sources'!$B$8)))*C49)</f>
        <v>209.72957887558934</v>
      </c>
      <c r="H49" s="89">
        <f>VLOOKUP($F49,'DC Cable Database'!$A$4:$O$32,9,FALSE)</f>
        <v>79</v>
      </c>
      <c r="I49" s="93">
        <f t="shared" si="2"/>
        <v>0.03</v>
      </c>
      <c r="J49" s="89">
        <f t="shared" si="3"/>
        <v>90</v>
      </c>
      <c r="K49" s="89">
        <f t="shared" si="4"/>
        <v>100</v>
      </c>
      <c r="L49" s="89">
        <f t="shared" si="5"/>
        <v>109.72957887558934</v>
      </c>
      <c r="M49" s="88" t="str">
        <f t="shared" si="6"/>
        <v>OK</v>
      </c>
    </row>
    <row r="50" spans="1:13" ht="20.100000000000001" customHeight="1">
      <c r="A50" s="116">
        <v>15</v>
      </c>
      <c r="B50" s="91">
        <f>A50*'Panel Datasheet'!$B$6</f>
        <v>615</v>
      </c>
      <c r="C50" s="91">
        <f t="shared" si="1"/>
        <v>17.690000000000001</v>
      </c>
      <c r="D50" s="87" t="s">
        <v>189</v>
      </c>
      <c r="E50" s="92">
        <v>4</v>
      </c>
      <c r="F50" s="87" t="s">
        <v>192</v>
      </c>
      <c r="G50" s="99">
        <f>B50*$B$32*1000/(2*(VLOOKUP($F50,'DC Cable Database'!$A$4:$O$32,5,FALSE)*(1+'Assumptions &amp; Sources'!$B$20*($B$34-'Assumptions &amp; Sources'!$B$8)))*C50)</f>
        <v>80.348266956267054</v>
      </c>
      <c r="H50" s="89">
        <f>VLOOKUP($F50,'DC Cable Database'!$A$4:$O$32,9,FALSE)</f>
        <v>44</v>
      </c>
      <c r="I50" s="93">
        <f t="shared" si="2"/>
        <v>0.03</v>
      </c>
      <c r="J50" s="89">
        <f t="shared" si="3"/>
        <v>90</v>
      </c>
      <c r="K50" s="89">
        <f t="shared" si="4"/>
        <v>100</v>
      </c>
      <c r="L50" s="89">
        <f t="shared" si="5"/>
        <v>-19.651733043732946</v>
      </c>
      <c r="M50" s="88" t="str">
        <f t="shared" si="6"/>
        <v>CHECK</v>
      </c>
    </row>
    <row r="51" spans="1:13" ht="20.100000000000001" customHeight="1">
      <c r="A51" s="116">
        <v>15</v>
      </c>
      <c r="B51" s="91">
        <f>A51*'Panel Datasheet'!$B$6</f>
        <v>615</v>
      </c>
      <c r="C51" s="91">
        <f t="shared" si="1"/>
        <v>17.690000000000001</v>
      </c>
      <c r="D51" s="87" t="s">
        <v>189</v>
      </c>
      <c r="E51" s="92">
        <v>6</v>
      </c>
      <c r="F51" s="87" t="s">
        <v>193</v>
      </c>
      <c r="G51" s="99">
        <f>B51*$B$32*1000/(2*(VLOOKUP($F51,'DC Cable Database'!$A$4:$O$32,5,FALSE)*(1+'Assumptions &amp; Sources'!$B$20*($B$34-'Assumptions &amp; Sources'!$B$8)))*C51)</f>
        <v>120.64090820277264</v>
      </c>
      <c r="H51" s="89">
        <f>VLOOKUP($F51,'DC Cable Database'!$A$4:$O$32,9,FALSE)</f>
        <v>57</v>
      </c>
      <c r="I51" s="93">
        <f t="shared" si="2"/>
        <v>0.03</v>
      </c>
      <c r="J51" s="89">
        <f t="shared" si="3"/>
        <v>90</v>
      </c>
      <c r="K51" s="89">
        <f t="shared" si="4"/>
        <v>100</v>
      </c>
      <c r="L51" s="89">
        <f t="shared" si="5"/>
        <v>20.640908202772636</v>
      </c>
      <c r="M51" s="88" t="str">
        <f t="shared" si="6"/>
        <v>OK</v>
      </c>
    </row>
    <row r="52" spans="1:13" ht="20.100000000000001" customHeight="1">
      <c r="A52" s="116">
        <v>15</v>
      </c>
      <c r="B52" s="91">
        <f>A52*'Panel Datasheet'!$B$6</f>
        <v>615</v>
      </c>
      <c r="C52" s="91">
        <f t="shared" si="1"/>
        <v>17.690000000000001</v>
      </c>
      <c r="D52" s="87" t="s">
        <v>189</v>
      </c>
      <c r="E52" s="92">
        <v>10</v>
      </c>
      <c r="F52" s="87" t="s">
        <v>194</v>
      </c>
      <c r="G52" s="99">
        <f>B52*$B$32*1000/(2*(VLOOKUP($F52,'DC Cable Database'!$A$4:$O$32,5,FALSE)*(1+'Assumptions &amp; Sources'!$B$20*($B$34-'Assumptions &amp; Sources'!$B$8)))*C52)</f>
        <v>209.72957887558934</v>
      </c>
      <c r="H52" s="89">
        <f>VLOOKUP($F52,'DC Cable Database'!$A$4:$O$32,9,FALSE)</f>
        <v>79</v>
      </c>
      <c r="I52" s="93">
        <f t="shared" si="2"/>
        <v>0.03</v>
      </c>
      <c r="J52" s="89">
        <f t="shared" si="3"/>
        <v>90</v>
      </c>
      <c r="K52" s="89">
        <f t="shared" si="4"/>
        <v>100</v>
      </c>
      <c r="L52" s="89">
        <f t="shared" si="5"/>
        <v>109.72957887558934</v>
      </c>
      <c r="M52" s="88" t="str">
        <f t="shared" si="6"/>
        <v>OK</v>
      </c>
    </row>
    <row r="53" spans="1:13" ht="20.100000000000001" customHeight="1">
      <c r="A53" s="116">
        <v>20</v>
      </c>
      <c r="B53" s="91">
        <f>A53*'Panel Datasheet'!$B$6</f>
        <v>820</v>
      </c>
      <c r="C53" s="91">
        <f t="shared" si="1"/>
        <v>17.690000000000001</v>
      </c>
      <c r="D53" s="87" t="s">
        <v>172</v>
      </c>
      <c r="E53" s="92">
        <v>4</v>
      </c>
      <c r="F53" s="87" t="s">
        <v>175</v>
      </c>
      <c r="G53" s="99">
        <f>B53*$B$32*1000/(2*(VLOOKUP($F53,'DC Cable Database'!$A$4:$O$32,5,FALSE)*(1+'Assumptions &amp; Sources'!$B$20*($B$34-'Assumptions &amp; Sources'!$B$8)))*C53)</f>
        <v>107.13102260835605</v>
      </c>
      <c r="H53" s="89">
        <f>VLOOKUP($F53,'DC Cable Database'!$A$4:$O$32,9,FALSE)</f>
        <v>44</v>
      </c>
      <c r="I53" s="93">
        <f t="shared" si="2"/>
        <v>0.03</v>
      </c>
      <c r="J53" s="89">
        <f t="shared" si="3"/>
        <v>90</v>
      </c>
      <c r="K53" s="89">
        <f t="shared" si="4"/>
        <v>100</v>
      </c>
      <c r="L53" s="89">
        <f t="shared" si="5"/>
        <v>7.131022608356048</v>
      </c>
      <c r="M53" s="88" t="str">
        <f t="shared" si="6"/>
        <v>OK</v>
      </c>
    </row>
    <row r="54" spans="1:13" ht="20.100000000000001" customHeight="1">
      <c r="A54" s="116">
        <v>20</v>
      </c>
      <c r="B54" s="91">
        <f>A54*'Panel Datasheet'!$B$6</f>
        <v>820</v>
      </c>
      <c r="C54" s="91">
        <f t="shared" si="1"/>
        <v>17.690000000000001</v>
      </c>
      <c r="D54" s="87" t="s">
        <v>172</v>
      </c>
      <c r="E54" s="92">
        <v>6</v>
      </c>
      <c r="F54" s="87" t="s">
        <v>176</v>
      </c>
      <c r="G54" s="99">
        <f>B54*$B$32*1000/(2*(VLOOKUP($F54,'DC Cable Database'!$A$4:$O$32,5,FALSE)*(1+'Assumptions &amp; Sources'!$B$20*($B$34-'Assumptions &amp; Sources'!$B$8)))*C54)</f>
        <v>160.8545442703635</v>
      </c>
      <c r="H54" s="89">
        <f>VLOOKUP($F54,'DC Cable Database'!$A$4:$O$32,9,FALSE)</f>
        <v>57</v>
      </c>
      <c r="I54" s="93">
        <f t="shared" si="2"/>
        <v>0.03</v>
      </c>
      <c r="J54" s="89">
        <f t="shared" si="3"/>
        <v>90</v>
      </c>
      <c r="K54" s="89">
        <f t="shared" si="4"/>
        <v>100</v>
      </c>
      <c r="L54" s="89">
        <f t="shared" si="5"/>
        <v>60.854544270363505</v>
      </c>
      <c r="M54" s="88" t="str">
        <f t="shared" si="6"/>
        <v>OK</v>
      </c>
    </row>
    <row r="55" spans="1:13" ht="20.100000000000001" customHeight="1">
      <c r="A55" s="116">
        <v>20</v>
      </c>
      <c r="B55" s="91">
        <f>A55*'Panel Datasheet'!$B$6</f>
        <v>820</v>
      </c>
      <c r="C55" s="91">
        <f t="shared" si="1"/>
        <v>17.690000000000001</v>
      </c>
      <c r="D55" s="87" t="s">
        <v>172</v>
      </c>
      <c r="E55" s="92">
        <v>10</v>
      </c>
      <c r="F55" s="87" t="s">
        <v>177</v>
      </c>
      <c r="G55" s="99">
        <f>B55*$B$32*1000/(2*(VLOOKUP($F55,'DC Cable Database'!$A$4:$O$32,5,FALSE)*(1+'Assumptions &amp; Sources'!$B$20*($B$34-'Assumptions &amp; Sources'!$B$8)))*C55)</f>
        <v>279.63943850078579</v>
      </c>
      <c r="H55" s="89">
        <f>VLOOKUP($F55,'DC Cable Database'!$A$4:$O$32,9,FALSE)</f>
        <v>79</v>
      </c>
      <c r="I55" s="93">
        <f t="shared" si="2"/>
        <v>0.03</v>
      </c>
      <c r="J55" s="89">
        <f t="shared" si="3"/>
        <v>90</v>
      </c>
      <c r="K55" s="89">
        <f t="shared" si="4"/>
        <v>100</v>
      </c>
      <c r="L55" s="89">
        <f t="shared" si="5"/>
        <v>179.63943850078579</v>
      </c>
      <c r="M55" s="88" t="str">
        <f t="shared" si="6"/>
        <v>OK</v>
      </c>
    </row>
    <row r="56" spans="1:13" ht="20.100000000000001" customHeight="1">
      <c r="A56" s="116">
        <v>20</v>
      </c>
      <c r="B56" s="91">
        <f>A56*'Panel Datasheet'!$B$6</f>
        <v>820</v>
      </c>
      <c r="C56" s="91">
        <f t="shared" si="1"/>
        <v>17.690000000000001</v>
      </c>
      <c r="D56" s="87" t="s">
        <v>189</v>
      </c>
      <c r="E56" s="92">
        <v>4</v>
      </c>
      <c r="F56" s="87" t="s">
        <v>192</v>
      </c>
      <c r="G56" s="99">
        <f>B56*$B$32*1000/(2*(VLOOKUP($F56,'DC Cable Database'!$A$4:$O$32,5,FALSE)*(1+'Assumptions &amp; Sources'!$B$20*($B$34-'Assumptions &amp; Sources'!$B$8)))*C56)</f>
        <v>107.13102260835605</v>
      </c>
      <c r="H56" s="89">
        <f>VLOOKUP($F56,'DC Cable Database'!$A$4:$O$32,9,FALSE)</f>
        <v>44</v>
      </c>
      <c r="I56" s="93">
        <f t="shared" si="2"/>
        <v>0.03</v>
      </c>
      <c r="J56" s="89">
        <f t="shared" si="3"/>
        <v>90</v>
      </c>
      <c r="K56" s="89">
        <f t="shared" si="4"/>
        <v>100</v>
      </c>
      <c r="L56" s="89">
        <f t="shared" si="5"/>
        <v>7.131022608356048</v>
      </c>
      <c r="M56" s="88" t="str">
        <f t="shared" si="6"/>
        <v>OK</v>
      </c>
    </row>
    <row r="57" spans="1:13" ht="20.100000000000001" customHeight="1">
      <c r="A57" s="116">
        <v>20</v>
      </c>
      <c r="B57" s="91">
        <f>A57*'Panel Datasheet'!$B$6</f>
        <v>820</v>
      </c>
      <c r="C57" s="91">
        <f t="shared" si="1"/>
        <v>17.690000000000001</v>
      </c>
      <c r="D57" s="87" t="s">
        <v>189</v>
      </c>
      <c r="E57" s="92">
        <v>6</v>
      </c>
      <c r="F57" s="87" t="s">
        <v>193</v>
      </c>
      <c r="G57" s="99">
        <f>B57*$B$32*1000/(2*(VLOOKUP($F57,'DC Cable Database'!$A$4:$O$32,5,FALSE)*(1+'Assumptions &amp; Sources'!$B$20*($B$34-'Assumptions &amp; Sources'!$B$8)))*C57)</f>
        <v>160.8545442703635</v>
      </c>
      <c r="H57" s="89">
        <f>VLOOKUP($F57,'DC Cable Database'!$A$4:$O$32,9,FALSE)</f>
        <v>57</v>
      </c>
      <c r="I57" s="93">
        <f t="shared" si="2"/>
        <v>0.03</v>
      </c>
      <c r="J57" s="89">
        <f t="shared" si="3"/>
        <v>90</v>
      </c>
      <c r="K57" s="89">
        <f t="shared" si="4"/>
        <v>100</v>
      </c>
      <c r="L57" s="89">
        <f t="shared" si="5"/>
        <v>60.854544270363505</v>
      </c>
      <c r="M57" s="88" t="str">
        <f t="shared" si="6"/>
        <v>OK</v>
      </c>
    </row>
    <row r="58" spans="1:13" ht="20.100000000000001" customHeight="1">
      <c r="A58" s="116">
        <v>20</v>
      </c>
      <c r="B58" s="91">
        <f>A58*'Panel Datasheet'!$B$6</f>
        <v>820</v>
      </c>
      <c r="C58" s="91">
        <f t="shared" si="1"/>
        <v>17.690000000000001</v>
      </c>
      <c r="D58" s="87" t="s">
        <v>189</v>
      </c>
      <c r="E58" s="92">
        <v>10</v>
      </c>
      <c r="F58" s="87" t="s">
        <v>194</v>
      </c>
      <c r="G58" s="99">
        <f>B58*$B$32*1000/(2*(VLOOKUP($F58,'DC Cable Database'!$A$4:$O$32,5,FALSE)*(1+'Assumptions &amp; Sources'!$B$20*($B$34-'Assumptions &amp; Sources'!$B$8)))*C58)</f>
        <v>279.63943850078579</v>
      </c>
      <c r="H58" s="89">
        <f>VLOOKUP($F58,'DC Cable Database'!$A$4:$O$32,9,FALSE)</f>
        <v>79</v>
      </c>
      <c r="I58" s="93">
        <f t="shared" si="2"/>
        <v>0.03</v>
      </c>
      <c r="J58" s="89">
        <f t="shared" si="3"/>
        <v>90</v>
      </c>
      <c r="K58" s="89">
        <f t="shared" si="4"/>
        <v>100</v>
      </c>
      <c r="L58" s="89">
        <f t="shared" si="5"/>
        <v>179.63943850078579</v>
      </c>
      <c r="M58" s="88" t="str">
        <f t="shared" si="6"/>
        <v>OK</v>
      </c>
    </row>
    <row r="59" spans="1:13" ht="33.950000000000003" customHeight="1">
      <c r="A59" s="159" t="s">
        <v>352</v>
      </c>
      <c r="B59" s="159" t="s">
        <v>352</v>
      </c>
      <c r="C59" s="159" t="s">
        <v>352</v>
      </c>
      <c r="D59" s="159" t="s">
        <v>352</v>
      </c>
      <c r="E59" s="159" t="s">
        <v>352</v>
      </c>
      <c r="F59" s="159" t="s">
        <v>352</v>
      </c>
      <c r="G59" s="159" t="s">
        <v>352</v>
      </c>
      <c r="H59" s="159" t="s">
        <v>352</v>
      </c>
      <c r="I59" s="159" t="s">
        <v>352</v>
      </c>
      <c r="J59" s="159" t="s">
        <v>352</v>
      </c>
      <c r="K59" s="159" t="s">
        <v>352</v>
      </c>
      <c r="L59" s="159" t="s">
        <v>352</v>
      </c>
      <c r="M59" s="159" t="s">
        <v>352</v>
      </c>
    </row>
  </sheetData>
  <mergeCells count="7">
    <mergeCell ref="A59:M59"/>
    <mergeCell ref="A39:M39"/>
    <mergeCell ref="A1:L1"/>
    <mergeCell ref="A3:L3"/>
    <mergeCell ref="A26:L26"/>
    <mergeCell ref="A28:D28"/>
    <mergeCell ref="C30:D36"/>
  </mergeCells>
  <conditionalFormatting sqref="J6:K23">
    <cfRule type="containsText" dxfId="1" priority="1" operator="containsText" text="PASS"/>
    <cfRule type="containsText" dxfId="0" priority="2" operator="containsText" text="CHECK"/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 &amp; Sources</vt:lpstr>
      <vt:lpstr>Project Cable List</vt:lpstr>
      <vt:lpstr>Panel Datasheet</vt:lpstr>
      <vt:lpstr>Cable Database</vt:lpstr>
      <vt:lpstr>DC Cable Database</vt:lpstr>
      <vt:lpstr>AC Calculator</vt:lpstr>
      <vt:lpstr>AC Quick Reference</vt:lpstr>
      <vt:lpstr>DC Calculator</vt:lpstr>
      <vt:lpstr>DC Quick Reference</vt:lpstr>
      <vt:lpstr>DC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Itthiphan Sakunwanthanasak</dc:creator>
  <cp:lastModifiedBy>Itthiphan Sakunwanthanasak</cp:lastModifiedBy>
  <dcterms:created xsi:type="dcterms:W3CDTF">2026-07-31T14:37:56Z</dcterms:created>
  <dcterms:modified xsi:type="dcterms:W3CDTF">2026-07-31T14:50:32Z</dcterms:modified>
</cp:coreProperties>
</file>